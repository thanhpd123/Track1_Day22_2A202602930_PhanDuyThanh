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AITHUCCHIEN\Labs\Lab22\Track1_Day22_2A202602930_PhanDuyThanh\"/>
    </mc:Choice>
  </mc:AlternateContent>
  <xr:revisionPtr revIDLastSave="0" documentId="13_ncr:1_{B98BCC33-074E-4FC4-BA46-885F3A60E6F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81029" iterateDelta="1E-4"/>
</workbook>
</file>

<file path=xl/calcChain.xml><?xml version="1.0" encoding="utf-8"?>
<calcChain xmlns="http://schemas.openxmlformats.org/spreadsheetml/2006/main">
  <c r="D34" i="5" l="1"/>
  <c r="C34" i="5"/>
  <c r="B34" i="5"/>
  <c r="B35" i="5" s="1"/>
  <c r="B22" i="5"/>
  <c r="B10" i="5"/>
  <c r="B15" i="5" s="1"/>
  <c r="B16" i="5" s="1"/>
  <c r="B17" i="5" s="1"/>
  <c r="B8" i="5"/>
  <c r="B18" i="4"/>
  <c r="B21" i="4" s="1"/>
  <c r="B10" i="4"/>
  <c r="B51" i="3"/>
  <c r="B34" i="3"/>
  <c r="B31" i="3"/>
  <c r="B30" i="3"/>
  <c r="B16" i="3"/>
  <c r="B15" i="3"/>
  <c r="B13" i="3"/>
  <c r="B12" i="3"/>
  <c r="B77" i="2"/>
  <c r="B64" i="2"/>
  <c r="B55" i="2"/>
  <c r="B54" i="2"/>
  <c r="B56" i="2" s="1"/>
  <c r="B43" i="2"/>
  <c r="B74" i="2" s="1"/>
  <c r="B38" i="2"/>
  <c r="B73" i="2" s="1"/>
  <c r="B26" i="2"/>
  <c r="B28" i="2" s="1"/>
  <c r="B25" i="2"/>
  <c r="B24" i="2"/>
  <c r="B23" i="2"/>
  <c r="B27" i="2" s="1"/>
  <c r="B31" i="2" s="1"/>
  <c r="B11" i="2"/>
  <c r="B29" i="2" l="1"/>
  <c r="B76" i="2"/>
  <c r="B63" i="2"/>
  <c r="B72" i="2"/>
  <c r="B47" i="2"/>
  <c r="B75" i="2" s="1"/>
  <c r="B12" i="2"/>
  <c r="B29" i="3" l="1"/>
  <c r="B62" i="2"/>
  <c r="B65" i="2" l="1"/>
  <c r="B66" i="2"/>
  <c r="B42" i="3"/>
  <c r="C42" i="3" s="1"/>
  <c r="D42" i="3" s="1"/>
  <c r="B41" i="3"/>
  <c r="C41" i="3" s="1"/>
  <c r="D41" i="3" s="1"/>
  <c r="B44" i="3"/>
  <c r="C44" i="3" s="1"/>
  <c r="D44" i="3" s="1"/>
  <c r="B40" i="3"/>
  <c r="C40" i="3" s="1"/>
  <c r="D40" i="3" s="1"/>
  <c r="B43" i="3"/>
  <c r="C43" i="3" s="1"/>
  <c r="D43" i="3" s="1"/>
  <c r="B39" i="3"/>
  <c r="C39" i="3" s="1"/>
  <c r="D39" i="3" s="1"/>
  <c r="B33" i="3"/>
  <c r="B53" i="3" l="1"/>
  <c r="B35" i="3"/>
  <c r="B5" i="3"/>
  <c r="B69" i="2"/>
  <c r="C74" i="2"/>
  <c r="C73" i="2"/>
  <c r="C77" i="2"/>
  <c r="C72" i="2"/>
  <c r="C76" i="2"/>
  <c r="C75" i="2"/>
  <c r="B67" i="2"/>
  <c r="B49" i="3" l="1"/>
  <c r="B7" i="3"/>
  <c r="B21" i="3"/>
  <c r="B20" i="3"/>
  <c r="B22" i="3" s="1"/>
  <c r="B52" i="3" l="1"/>
  <c r="B24" i="3"/>
  <c r="B23" i="3"/>
  <c r="B6" i="5"/>
  <c r="B9" i="5" s="1"/>
  <c r="B23" i="5" s="1"/>
  <c r="B24" i="5" s="1"/>
  <c r="B25" i="3"/>
  <c r="B5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Duy Thanh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Đếm tự động bằng event design_concept_exported (Lab20, NSM = MQEC). Designer bấm Xuất = tự xác nhận concept đủ tốt để trình chủ nhà.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Biến thể A: designer (khách hàng) tự tinh chỉnh / tự dựng tay khi AI không ra được phương án. Mình không cam kết giao kết quả → escalation không vào COGS. QA nội bộ vẫn tính ở S7.</t>
        </r>
      </text>
    </comment>
    <comment ref="B9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Mục tiêu cuối 90 ngày: 60 designer trả phí × ~5 phòng bắt đầu/tháng = 300 phòng thử. Nhịp 2–4 pack/tháng lấy từ cadence Lab20.</t>
        </r>
      </text>
    </comment>
    <comment ref="B10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ƯỚC TÍNH — chưa có eval. Containment = % phòng bắt đầu → xuất được Design Pack đạt chuẩn. Sẽ đo thật bằng design_concept_exported / room_created trong pilot tháng 1 (xem tab 5).</t>
        </r>
      </text>
    </comment>
    <comment ref="B15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Gemini 3.1 Flash Image (gemini-3.1-flash-image) — input text/image $0,50/1M. ai.google.dev/gemini-api/docs/pricing · Kiểm tra 08/10/2026. S3 dùng cho MODEL SINH ẢNH vì đây là API chính của sản phẩm; LLM text (bóc vật liệu) tính ở S5.</t>
        </r>
      </text>
    </comment>
    <comment ref="B16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Output ẢNH $60/1M token (= $0,101 / ảnh 2K ≈ 1.680 token). Output text chỉ $3 nhưng pack gần như toàn token ảnh. Kiểm tra 08/10/2026.</t>
        </r>
      </text>
    </comment>
    <comment ref="B17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Trang giá KHÔNG liệt kê context caching cho model ảnh → cache write = giá input (không có chiết khấu).</t>
        </r>
      </text>
    </comment>
    <comment ref="B18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Không có cache read rẻ cho model ảnh → để bằng giá input. Kết quả: caching tiết kiệm 0% — đòn bẩy rẻ nhất của bài (cache) KHÔNG áp dụng cho sản phẩm sinh ảnh.</t>
        </r>
      </text>
    </comment>
    <comment ref="B19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5 lượt render / pack = 2 góc nhìn ban đầu + 3 lượt tinh chỉnh (đổi đồ, vật liệu, ánh sáng). Ngưỡng counter-metric Lab20: &gt;5 render/phòng = AI đang 'ngáo'.</t>
        </r>
      </text>
    </comment>
    <comment ref="B20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Ảnh hiện trạng tham chiếu (~1.100 token) + system prompt/style guide (~1.500). Gửi lại mỗi lượt nhưng không được giảm giá.</t>
        </r>
      </text>
    </comment>
    <comment ref="B21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Ảnh render lượt trước làm nền chỉnh sửa (~1.700 token) + chỉ dẫn của designer (~100).</t>
        </r>
      </text>
    </comment>
    <comment ref="B22" authorId="0" shapeId="0" xr:uid="{00000000-0006-0000-0100-00000C000000}">
      <text>
        <r>
          <rPr>
            <sz val="11"/>
            <color theme="1"/>
            <rFont val="Calibri"/>
            <family val="2"/>
            <charset val="1"/>
          </rPr>
          <t>1 ảnh 2K ≈ 1.680 token output ($0,101 ÷ $60/1M).</t>
        </r>
      </text>
    </comment>
    <comment ref="B30" authorId="0" shapeId="0" xr:uid="{00000000-0006-0000-0100-00000D000000}">
      <text>
        <r>
          <rPr>
            <sz val="11"/>
            <color theme="1"/>
            <rFont val="Calibri"/>
            <family val="2"/>
            <charset val="1"/>
          </rPr>
          <t>KHÔNG dùng Batch: pack phải ra ngay trong buổi tư vấn (realtime). Nếu dùng Batch (−50%) cost/job giảm nhưng phá mất core value.</t>
        </r>
      </text>
    </comment>
    <comment ref="B34" authorId="0" shapeId="0" xr:uid="{00000000-0006-0000-0100-00000E000000}">
      <text>
        <r>
          <rPr>
            <sz val="11"/>
            <color theme="1"/>
            <rFont val="Calibri"/>
            <family val="2"/>
            <charset val="1"/>
          </rPr>
          <t>Sản phẩm không có thoại → 0 có lý do.</t>
        </r>
      </text>
    </comment>
    <comment ref="B41" authorId="0" shapeId="0" xr:uid="{00000000-0006-0000-0100-00000F000000}">
      <text>
        <r>
          <rPr>
            <sz val="11"/>
            <color theme="1"/>
            <rFont val="Calibri"/>
            <family val="2"/>
            <charset val="1"/>
          </rPr>
          <t>Cộng / job thử: (1) Claude Haiku 4.5 bóc tách vật liệu: 5.200 in × $1 + 1.000 out × $5 /1M = $0,0102; (2) auto-QA ảnh bằng Haiku 4.5 vision: 5 × (1.600 in + 150 out) = $0,0118; (3) lưu trữ + CDN ảnh ≈ $0,006 (ước tính); (4) logging/monitoring ≈ $0,004 (ước tính); (5) server + DB $40/tháng ÷ 300 job = $0,133; (6) phí cổng thanh toán ~2% × $4,78 × 70% = $0,067 (ước tính). Tổng ≈ $0,232. Giá Haiku: platform.claude.com/docs/en/about-claude/pricing · Kiểm tra 08/10/2026</t>
        </r>
      </text>
    </comment>
    <comment ref="B42" authorId="0" shapeId="0" xr:uid="{00000000-0006-0000-0100-000010000000}">
      <text>
        <r>
          <rPr>
            <sz val="11"/>
            <color theme="1"/>
            <rFont val="Calibri"/>
            <family val="2"/>
            <charset val="1"/>
          </rPr>
          <t>Không có telephony → 0 có lý do.</t>
        </r>
      </text>
    </comment>
    <comment ref="B46" authorId="0" shapeId="0" xr:uid="{00000000-0006-0000-0100-000011000000}">
      <text>
        <r>
          <rPr>
            <sz val="11"/>
            <color theme="1"/>
            <rFont val="Calibri"/>
            <family val="2"/>
            <charset val="1"/>
          </rPr>
          <t>ƯỚC TÍNH 10% (cận trên của 5–10%): model ảnh hay bị chặn safety filter, timeout, hoặc ảnh méo hình học bị auto-QA loại phải render lại.</t>
        </r>
      </text>
    </comment>
    <comment ref="B50" authorId="0" shapeId="0" xr:uid="{00000000-0006-0000-0100-000012000000}">
      <text>
        <r>
          <rPr>
            <sz val="11"/>
            <color theme="1"/>
            <rFont val="Calibri"/>
            <family val="2"/>
            <charset val="1"/>
          </rPr>
          <t>Diễn họa viên 3D: lương TB 16,5tr/tháng (JobsGO 2026) × 1,3 fully-loaded ÷ 26.100 ÷ 176h ≈ $4,7/h → làm tròn $5/h. QA cần người có mắt thẩm mỹ.</t>
        </r>
      </text>
    </comment>
    <comment ref="B51" authorId="0" shapeId="0" xr:uid="{00000000-0006-0000-0100-000013000000}">
      <text>
        <r>
          <rPr>
            <sz val="11"/>
            <color theme="1"/>
            <rFont val="Calibri"/>
            <family val="2"/>
            <charset val="1"/>
          </rPr>
          <t>QA nội bộ 5% số phòng: soát ảnh lỗi hình học / sai tỷ lệ / bảng vật liệu.</t>
        </r>
      </text>
    </comment>
    <comment ref="B52" authorId="0" shapeId="0" xr:uid="{00000000-0006-0000-0100-000014000000}">
      <text>
        <r>
          <rPr>
            <sz val="11"/>
            <color theme="1"/>
            <rFont val="Calibri"/>
            <family val="2"/>
            <charset val="1"/>
          </rPr>
          <t>3 phút / ca: xem 2 góc + moodboard + bảng vật liệu.</t>
        </r>
      </text>
    </comment>
    <comment ref="B53" authorId="0" shapeId="0" xr:uid="{00000000-0006-0000-0100-000015000000}">
      <text>
        <r>
          <rPr>
            <sz val="11"/>
            <color theme="1"/>
            <rFont val="Calibri"/>
            <family val="2"/>
            <charset val="1"/>
          </rPr>
          <t>Chỉ dùng nếu đổi sang Biến thể B: 1 người dựng tay/chỉnh phối cảnh ~45 phút/phòng. Ở Biến thể A không vào COGS.</t>
        </r>
      </text>
    </comment>
    <comment ref="B59" authorId="0" shapeId="0" xr:uid="{00000000-0006-0000-0100-000016000000}">
      <text>
        <r>
          <rPr>
            <sz val="11"/>
            <color theme="1"/>
            <rFont val="Calibri"/>
            <family val="2"/>
            <charset val="1"/>
          </rPr>
          <t>ƯỚC TÍNH: công cụ SaaS (design, analytics, email) + ngân sách seed cộng đồng ~ $250/tháng. CHƯA tính lương founder.</t>
        </r>
      </text>
    </comment>
    <comment ref="B68" authorId="0" shapeId="0" xr:uid="{00000000-0006-0000-0100-000017000000}">
      <text>
        <r>
          <rPr>
            <sz val="11"/>
            <color theme="1"/>
            <rFont val="Calibri"/>
            <family val="2"/>
            <charset val="1"/>
          </rPr>
          <t>Vietcombank bán ra USD ngày 10/09/2026 = 26.100 ₫ (webgia.com/ty-gia/vietcombank/10-09-2026.html) — mức gần nhất tìm được khi kiểm tra 08/10/2026.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Duy Thanh</author>
  </authors>
  <commentList>
    <comment ref="B10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Thời gian designer tiết kiệm: 3,5 phòng/tháng × 2,5 ngày (3 ngày 3ds Max − 0,5 ngày dùng AI) × 750.000 ₫/ngày (16,5tr ÷ 22 ngày công) = 6,56tr ₫ ≈ $251. Chưa tính giá trị chốt hợp đồng sớm hơn → con số thận trọng.</t>
        </r>
      </text>
    </comment>
    <comment ref="B11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= 210 pack hoàn thành ÷ 60 designer (tab 1). Khớp cadence 2–4 pack/tháng ở Lab20.</t>
        </r>
      </text>
    </comment>
    <comment ref="B14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Phần lương diễn họa viên tương ứng khối lượng bị thay: 16,5tr ₫ (JobsGO 2026) × (3,5 phòng × 3 ngày ÷ 22 ngày) = 7,9tr ₫ ≈ $302. Không dùng nguyên lương $632 vì 1 freelancer không thuê nguyên 1 người.</t>
        </r>
      </text>
    </comment>
    <comment ref="B19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Giá hiệu dụng / pack trong gói Hybrid: 499.000 ₫/tháng gồm 4 Design Pack → 124.750 ₫ ≈ $4,78. Vượt gói: 129.000 ₫/pack. Neo dưới mức 10% giá trị ($7,2) vì đối thủ AI (Interior AI $49/1.000 design) kéo kỳ vọng giá xuống.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Duy Thanh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Event design_concept_exported đã thiết kế ở Lab20 nhưng chưa chạy production.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Chưa có bộ eval có số liệu — đây là lỗ hổng lớn nhất (xem Evidence Pack).</t>
        </r>
      </text>
    </comment>
    <comment ref="B7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Export = designer tự xác nhận, nhưng chưa phỏng vấn để khách đồng ý định nghĩa.</t>
        </r>
      </text>
    </comment>
    <comment ref="B8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Toàn bộ pack sinh ra trong công cụ; không có yếu tố ngoài tạo ra ảnh phối cảnh.</t>
        </r>
      </text>
    </comment>
    <comment ref="B9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Định nghĩa chặt ở tab 1 S1: ≥2 góc 2K + moodboard; xuất lại không tính; job lỗi không tính.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Designer luôn phải chỉnh đồ/vật liệu (Depth metric Lab20 đo đúng việc này).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Render chạy bất kỳ giờ nào, không cần người trực.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family val="2"/>
            <charset val="1"/>
          </rPr>
          <t>Auto-QA chỉ tự render lại ảnh méo; chưa biết tự báo designer khi không chắc.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family val="2"/>
            <charset val="1"/>
          </rPr>
          <t>Phần lớn pack có item_customized trước khi xuất → &gt;20% có người can thiệp (đây là thiết kế, không phải lỗi).</t>
        </r>
      </text>
    </comment>
    <comment ref="B17" authorId="0" shapeId="0" xr:uid="{00000000-0006-0000-0300-00000A000000}">
      <text>
        <r>
          <rPr>
            <sz val="11"/>
            <color theme="1"/>
            <rFont val="Calibri"/>
            <family val="2"/>
            <charset val="1"/>
          </rPr>
          <t>Team chỉ QA mẫu 5%; người chỉnh là khách hàng, không phải người vận hành của mình.</t>
        </r>
      </text>
    </comment>
    <comment ref="C26" authorId="0" shapeId="0" xr:uid="{00000000-0006-0000-0300-00000B000000}">
      <text>
        <r>
          <rPr>
            <sz val="11"/>
            <color theme="1"/>
            <rFont val="Calibri"/>
            <family val="2"/>
            <charset val="1"/>
          </rPr>
          <t>Kiểm tra 08/10/2026 — đọc trang giá chính thức.</t>
        </r>
      </text>
    </comment>
    <comment ref="C27" authorId="0" shapeId="0" xr:uid="{00000000-0006-0000-0300-00000C000000}">
      <text>
        <r>
          <rPr>
            <sz val="11"/>
            <color theme="1"/>
            <rFont val="Calibri"/>
            <family val="2"/>
            <charset val="1"/>
          </rPr>
          <t>Kiểm tra 08/10/2026 — đọc trang giá chính thức.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Phan Duy Thanh</author>
  </authors>
  <commentList>
    <comment ref="B5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499.000 ₫ ÷ 26.100 = $19,12. Giả định khách TB dùng 3,5 pack &lt; 4 pack trong gói → ARPU = phí gói, chưa cộng phí vượt.</t>
        </r>
      </text>
    </comment>
    <comment ref="B13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Điều chỉnh cho thị trường VN: AE fully-loaded ~25tr ₫/tháng ≈ $11.500/năm, quota ~5× chi phí ≈ $60.000/năm (giả định gốc Tunguz $500k là thị trường Mỹ).</t>
        </r>
      </text>
    </comment>
    <comment ref="B20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ICONIQ State of GTM 2026, mức thấp nhất ($6.300). Số Mỹ — kể cả nếu ở VN chỉ bằng 1/20 ($315) thì CAC = $1.260, vẫn gấp ~7 lần ngân sách CAC.</t>
        </r>
      </text>
    </comment>
  </commentList>
</comments>
</file>

<file path=xl/sharedStrings.xml><?xml version="1.0" encoding="utf-8"?>
<sst xmlns="http://schemas.openxmlformats.org/spreadsheetml/2006/main" count="604" uniqueCount="500">
  <si>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</si>
  <si>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</si>
  <si>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</si>
  <si>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</si>
  <si>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</si>
  <si>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</si>
  <si>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</si>
  <si>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</si>
  <si>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</si>
  <si>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</si>
  <si>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</si>
  <si>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</si>
  <si>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</si>
  <si>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</si>
  <si>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</si>
  <si>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</si>
  <si>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</si>
  <si>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</si>
  <si>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</si>
  <si>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</si>
  <si>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</si>
  <si>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</si>
  <si>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</si>
  <si>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</si>
  <si>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</si>
  <si>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</si>
  <si>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</si>
  <si>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</si>
  <si>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</si>
  <si>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</si>
  <si>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</si>
  <si>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</si>
  <si>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</si>
  <si>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</si>
  <si>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Design Pack đạt chuẩn trình khách được XUẤT cho 1 phòng: ≥2 góc phối cảnh 2K + moodboard vật liệu có mã màu/chủng loại. Xuất lại cùng design_id không tính thêm; job lỗi không tính.</t>
  </si>
  <si>
    <t>Phải là thứ KHÁCH coi là giá trị — không phải '1 request'</t>
  </si>
  <si>
    <t>Biến thể HITL: A hay B?</t>
  </si>
  <si>
    <t>A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</si>
  <si>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</si>
  <si>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</si>
  <si>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</si>
  <si>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</si>
  <si>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</si>
  <si>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Lấy từ eval Day 21–22. 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</si>
  <si>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</si>
  <si>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</si>
  <si>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</si>
  <si>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</si>
  <si>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</si>
  <si>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</si>
  <si>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</si>
  <si>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</si>
  <si>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</si>
  <si>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</si>
  <si>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</si>
  <si>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</si>
  <si>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</si>
  <si>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</si>
  <si>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</si>
  <si>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</si>
  <si>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</si>
  <si>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</si>
  <si>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</si>
  <si>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</si>
  <si>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</si>
  <si>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</si>
  <si>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</si>
  <si>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</si>
  <si>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</si>
  <si>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</si>
  <si>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</si>
  <si>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</si>
  <si>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</si>
  <si>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</si>
  <si>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</si>
  <si>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</si>
  <si>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</si>
  <si>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</si>
  <si>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</si>
  <si>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</si>
  <si>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</si>
  <si>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</si>
  <si>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</si>
  <si>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</si>
  <si>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</si>
  <si>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</si>
  <si>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</si>
  <si>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</si>
  <si>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</si>
  <si>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</si>
  <si>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</si>
  <si>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</si>
  <si>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</si>
  <si>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</si>
  <si>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</si>
  <si>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</si>
  <si>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</si>
  <si>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</si>
  <si>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</si>
  <si>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</si>
  <si>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</si>
  <si>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</si>
  <si>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</si>
  <si>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</si>
  <si>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</si>
  <si>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</si>
  <si>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</si>
  <si>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</si>
  <si>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</si>
  <si>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</si>
  <si>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</si>
  <si>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</si>
  <si>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</si>
  <si>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</si>
  <si>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</si>
  <si>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</si>
  <si>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</si>
  <si>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</si>
  <si>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</si>
  <si>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</si>
  <si>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</si>
  <si>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</si>
  <si>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</si>
  <si>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</si>
  <si>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</si>
  <si>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</si>
  <si>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</si>
  <si>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</si>
  <si>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</si>
  <si>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</si>
  <si>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</si>
  <si>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</si>
  <si>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</si>
  <si>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</si>
  <si>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</si>
  <si>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</si>
  <si>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</si>
  <si>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</si>
  <si>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</si>
  <si>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</si>
  <si>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</si>
  <si>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</si>
  <si>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</si>
  <si>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</si>
  <si>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</si>
  <si>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</si>
  <si>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</si>
  <si>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</si>
  <si>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</si>
  <si>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</si>
  <si>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</si>
  <si>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</si>
  <si>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</si>
  <si>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</si>
  <si>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</si>
  <si>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</si>
  <si>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</si>
  <si>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</si>
  <si>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</si>
  <si>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</si>
  <si>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</si>
  <si>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</si>
  <si>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</si>
  <si>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</si>
  <si>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</si>
  <si>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</si>
  <si>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</si>
  <si>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</si>
  <si>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</si>
  <si>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</si>
  <si>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</si>
  <si>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</si>
  <si>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</si>
  <si>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</si>
  <si>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</si>
  <si>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</si>
  <si>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</si>
  <si>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</si>
  <si>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</si>
  <si>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</si>
  <si>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</si>
  <si>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</si>
  <si>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(Day 21–22)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</si>
  <si>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</si>
  <si>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</si>
  <si>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</si>
  <si>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</si>
  <si>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</si>
  <si>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</si>
  <si>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</si>
  <si>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</si>
  <si>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</si>
  <si>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</si>
  <si>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</si>
  <si>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</si>
  <si>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</si>
  <si>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</si>
  <si>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</si>
  <si>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</si>
  <si>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</si>
  <si>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</si>
  <si>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</si>
  <si>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Interior AI</t>
  </si>
  <si>
    <t>Gói tháng theo trần usage (số design/tháng)</t>
  </si>
  <si>
    <t>$49/th 1.000 design · $99/th 5.000 · $199/th 25.000 (trả theo năm: $29/$49/$99 quy đổi tháng)</t>
  </si>
  <si>
    <t>https://interiorai.com/</t>
  </si>
  <si>
    <t>REimagineHome</t>
  </si>
  <si>
    <t>Hybrid: gói tháng + credits (1 credit/design; 2 credits khi ghép sản phẩm thật)</t>
  </si>
  <si>
    <t>$14/th 30 credits · $49/th 200 · $79/th 400 · $99/th 900</t>
  </si>
  <si>
    <t>https://www.reimaginehome.ai/pricing</t>
  </si>
  <si>
    <t>QUYẾT ĐỊNH CUỐI</t>
  </si>
  <si>
    <t>Value Metric tôi chọn</t>
  </si>
  <si>
    <t>Hybrid</t>
  </si>
  <si>
    <t>Nếu KHÁC gợi ý — lý do thị trường là gì?</t>
  </si>
  <si>
    <t>Không lệch: model gợi ý 'SEAT hoặc HYBRID' (Attribution 6, Autonomy 5). Chọn Hybrid chứ không Seat vì chi phí đi theo số lượt render chứ không theo người; freelancer Việt quen trả gói tháng cố định (SketchUp, Enscape) và sợ hoá đơn thả nổi.</t>
  </si>
  <si>
    <t>Decision Note — câu 1: tôi chọn đơn vị nào?</t>
  </si>
  <si>
    <t>Gói 499.000 ₫/tháng gồm 4 Design Pack, vượt gói 129.000 ₫/pack; phí nền mua 4 pack + lưu trữ dự án + link chia sẻ cho chủ nhà — đơn vị tính tiền là Design Pack xuất thành công, không phải lượt render.</t>
  </si>
  <si>
    <t>Decision Note — câu 2: bằng chứng Attribution / Autonomy?</t>
  </si>
  <si>
    <t>Attribution 6/10: định nghĩa job chặt và đếm được, nhưng CHƯA có eval nên chưa đủ điều kiện bán thuần Outcome. Autonomy 5/10: designer luôn chỉnh trước khi xuất — AI là người dựng, designer là người duyệt.</t>
  </si>
  <si>
    <t>Decision Note — câu 3: mô hình này lỗ trong tình huống nào?</t>
  </si>
  <si>
    <t>Lỗ khi 1 pack cần ≥13 lượt render (GM &lt; 50% ở giá $4,78), vì mình chỉ thu tiền khi xuất pack còn render lại là mình chịu → chặn bằng trần 12 lượt render/pack, vượt thì trừ thêm 1 pack.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</si>
  <si>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</si>
  <si>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</si>
  <si>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</si>
  <si>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</si>
  <si>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</si>
  <si>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</si>
  <si>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SMB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</si>
  <si>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</si>
  <si>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</si>
  <si>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</si>
  <si>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</si>
  <si>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</si>
  <si>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</si>
  <si>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</si>
  <si>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</si>
  <si>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</si>
  <si>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</si>
  <si>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</si>
  <si>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</si>
  <si>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</si>
  <si>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</si>
  <si>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</si>
  <si>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</si>
  <si>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</si>
  <si>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</si>
  <si>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</si>
  <si>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</si>
  <si>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</si>
  <si>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</si>
  <si>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</si>
  <si>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</si>
  <si>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</si>
  <si>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</si>
  <si>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</si>
  <si>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</si>
  <si>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</si>
  <si>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</si>
  <si>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</si>
  <si>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</si>
  <si>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</si>
  <si>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</si>
  <si>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</si>
  <si>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</si>
  <si>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</si>
  <si>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</si>
  <si>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</si>
  <si>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Không áp dụng — chọn PLG</t>
  </si>
  <si>
    <t>'Các nền tảng trong ngành' = chưa có kênh</t>
  </si>
  <si>
    <t>Đã nói chuyện với họ chưa? (Rồi / Chưa)</t>
  </si>
  <si>
    <t>Bạn mang lại giá trị gì cho partner?</t>
  </si>
  <si>
    <t>Không áp dụng — chọn PLG. (Phương án dự phòng tháng 4+: showroom/hãng vật liệu muốn SKU của họ vào moodboard — chưa liên hệ ai.)</t>
  </si>
  <si>
    <t>Nếu rơi vào vùng không khả thi — lối thoát nào?</t>
  </si>
  <si>
    <t>Lối thoát 'giảm giá để tự phục vụ': 30 ngày tới bỏ hẳn sales, làm onboarding tự phục vụ trong Zalo Mini App + dùng thử 2 Design Pack miễn phí, không demo 1-1 sau tháng 1.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</si>
  <si>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</si>
  <si>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</si>
  <si>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</si>
  <si>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</si>
  <si>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</si>
  <si>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18h–21h tối ngày thường / cuối tuần — buổi tư vấn ĐẦU TIÊN tại căn hộ chủ nhà (giờ chủ nhà rảnh sau giờ làm). Giả thuyết — kiểm chứng ở pilot tháng 1.</t>
  </si>
  <si>
    <t>Lúc đó họ ĐANG LÀM GÌ?</t>
  </si>
  <si>
    <t>Vừa chụp ảnh hiện trạng phòng; chủ nhà hỏi 'làm xong trông thế nào?'. Designer chỉ có ảnh Pinterest, phải hẹn 3 ngày sau gửi phối cảnh 3ds Max → khách nguội, đi hỏi đơn vị khác.</t>
  </si>
  <si>
    <t>Họ đang DÙNG APP / KÊNH NÀO?</t>
  </si>
  <si>
    <t>Điện thoại: Camera + Zalo (đang chat với chủ nhà). Về nhà mới mở SketchUp / 3ds Max.</t>
  </si>
  <si>
    <t>→ Điểm nhúng cụ thể của bạn</t>
  </si>
  <si>
    <t>Zalo Mini App: chụp ảnh hiện trạng ngay trong Zalo → 2 phương án phối cảnh ngay trong buổi gặp → gửi Design Pack thẳng vào cuộc chat Zalo với chủ nhà.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</si>
  <si>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</si>
  <si>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</si>
  <si>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</si>
  <si>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</si>
  <si>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</si>
  <si>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</si>
  <si>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PLG thủ công: tự onboard từng designer qua quen biết + nhóm Facebook/Zalo designer nội thất</t>
  </si>
  <si>
    <t>PLG tự phục vụ: Zalo Mini App + dùng thử 2 pack + link chia sẻ pack có ghi 'tạo bằng ...'</t>
  </si>
  <si>
    <t>PLG + gói Team cho studio 2–5 người (ngách kế tiếp)</t>
  </si>
  <si>
    <t>Mục tiêu số khách</t>
  </si>
  <si>
    <t>10 designer dùng thử, ≥5 trả phí</t>
  </si>
  <si>
    <t>60 designer trả phí cuối tháng 3</t>
  </si>
  <si>
    <t>150 designer trả phí — CHỈ mở khi đạt KPI tháng 2–3</t>
  </si>
  <si>
    <t>Việc cụ thể 1</t>
  </si>
  <si>
    <t>Ngồi cùng 5 designer trong buổi tư vấn thật, ghi lại giờ/việc/app</t>
  </si>
  <si>
    <t>Ra Zalo Mini App + luồng dùng thử 2 pack</t>
  </si>
  <si>
    <t>Thêm tài khoản team, dùng chung thư viện vật liệu</t>
  </si>
  <si>
    <t>Việc cụ thể 2</t>
  </si>
  <si>
    <t>Chạy eval 50 phòng thật → đo containment, số render/pack</t>
  </si>
  <si>
    <t>Đăng case before/after (có đồng ý) vào 3 nhóm designer</t>
  </si>
  <si>
    <t>Thử thư viện SKU vật liệu với 1 hãng (phương án partner)</t>
  </si>
  <si>
    <t>Việc cụ thể 3</t>
  </si>
  <si>
    <t>Phỏng vấn giá: 499k/4 pack vs 129k/pack lẻ</t>
  </si>
  <si>
    <t>Đặt trần 12 render/pack + cảnh báo khi gần trần</t>
  </si>
  <si>
    <t>Đánh giá lại Value Metric khi có eval → cân nhắc Outcome</t>
  </si>
  <si>
    <t>KPI đo được</t>
  </si>
  <si>
    <t>Activation 48h ≥ 6/10; ≥ 20 pack xuất cho khách thật; containment đo được</t>
  </si>
  <si>
    <t>Trial→paid ≥ 15%; containment ≥ 70%; render/pack ≤ 5; GM ≥ 60%</t>
  </si>
  <si>
    <t>Retention M1 (định nghĩa Lab20) ≥ 50%; MQEC tăng theo tháng</t>
  </si>
  <si>
    <t>Người chịu trách nhiệm</t>
  </si>
  <si>
    <t>Phan Duy Thành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</si>
  <si>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</si>
  <si>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</si>
  <si>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</si>
  <si>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</si>
  <si>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</si>
  <si>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</si>
  <si>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 (Day 21–22)</t>
  </si>
  <si>
    <t>Chưa</t>
  </si>
  <si>
    <t>Eval 50 phòng thật từ 5 designer: % phòng ra pack đạt chuẩn trong ≤5 lượt render (= containment), % ảnh lỗi hình học (bàn 3 chân, tỷ lệ méo).</t>
  </si>
  <si>
    <t>Phan Duy Thành · 31/10/2026</t>
  </si>
  <si>
    <t>2. Risk Checklist (Day 24)</t>
  </si>
  <si>
    <t>Viết 3 câu trả lời: (1) AI vẽ sai → designer duyệt trước khi xuất, ảnh ghi rõ 'phối cảnh minh hoạ, không phải bản vẽ thi công'; (2) ảnh nhà khách có bị train không → trích điều khoản API trả phí của Google/Anthropic; (3) startup dừng → xuất toàn bộ dự án (ảnh + PDF) bất kỳ lúc nào, báo trước 30 ngày.</t>
  </si>
  <si>
    <t>Phan Duy Thành · 15/11/2026</t>
  </si>
  <si>
    <t>3. Pilot Report</t>
  </si>
  <si>
    <t>Pilot 4 tuần với 10 designer (bắt đầu 13/10/2026): số phòng, số pack xuất, containment, thời gian từ ảnh tới pack so với 3 ngày 3ds Max.</t>
  </si>
  <si>
    <t>Phan Duy Thành · 14/11/2026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</si>
  <si>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</si>
  <si>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</si>
  <si>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</si>
  <si>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Chưa test — cần nhóm khác đọc One-Pager 2 phút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</si>
  <si>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</si>
  <si>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</si>
  <si>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</si>
  <si>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Chưa test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</si>
  <si>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</si>
  <si>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</si>
  <si>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</si>
  <si>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08/10/2026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</si>
  <si>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</si>
  <si>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</si>
  <si>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</si>
  <si>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</si>
  <si>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</si>
  <si>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</si>
  <si>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</si>
  <si>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</si>
  <si>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</si>
  <si>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</si>
  <si>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</si>
  <si>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</si>
  <si>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</si>
  <si>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</si>
  <si>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</si>
  <si>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</si>
  <si>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</si>
  <si>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</si>
  <si>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</si>
  <si>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</si>
  <si>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</si>
  <si>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</si>
  <si>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</si>
  <si>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</si>
  <si>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</si>
  <si>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</si>
  <si>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</si>
  <si>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</si>
  <si>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</si>
  <si>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</si>
  <si>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</si>
  <si>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</si>
  <si>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</si>
  <si>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</si>
  <si>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</si>
  <si>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</si>
  <si>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</si>
  <si>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</si>
  <si>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</si>
  <si>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</si>
  <si>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</si>
  <si>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</si>
  <si>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</si>
  <si>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</si>
  <si>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</si>
  <si>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</si>
  <si>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</si>
  <si>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</si>
  <si>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</si>
  <si>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</si>
  <si>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</si>
  <si>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</si>
  <si>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</si>
  <si>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</si>
  <si>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</si>
  <si>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</si>
  <si>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</si>
  <si>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</si>
  <si>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</si>
  <si>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</si>
  <si>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</si>
  <si>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</si>
  <si>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</si>
  <si>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</si>
  <si>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</si>
  <si>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</si>
  <si>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</si>
  <si>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</si>
  <si>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</si>
  <si>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</si>
  <si>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</si>
  <si>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</si>
  <si>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</si>
  <si>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</si>
  <si>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</si>
  <si>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</si>
  <si>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</si>
  <si>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</si>
  <si>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</si>
  <si>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</si>
  <si>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</si>
  <si>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</si>
  <si>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</si>
  <si>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</si>
  <si>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</si>
  <si>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</si>
  <si>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</si>
  <si>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</si>
  <si>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</si>
  <si>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</si>
  <si>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</si>
  <si>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</si>
  <si>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</si>
  <si>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</si>
  <si>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</si>
  <si>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</si>
  <si>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</si>
  <si>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</si>
  <si>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</si>
  <si>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</si>
  <si>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</si>
  <si>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</si>
  <si>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</si>
  <si>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</si>
  <si>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</si>
  <si>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</si>
  <si>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</si>
  <si>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</si>
  <si>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</si>
  <si>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</si>
  <si>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</si>
  <si>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</si>
  <si>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</si>
  <si>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</si>
  <si>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</si>
  <si>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</si>
  <si>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</si>
  <si>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</si>
  <si>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</si>
  <si>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</si>
  <si>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</si>
  <si>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</si>
  <si>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</si>
  <si>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</si>
  <si>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</si>
  <si>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</si>
  <si>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CẬP NHẬT 08/10/2026 — các giá dùng trong model này (mở trang giá gốc)</t>
  </si>
  <si>
    <t>Ảnh</t>
  </si>
  <si>
    <t>Gemini 3.1 Flash Image — input / output ảnh (DÙNG TRONG MODEL)</t>
  </si>
  <si>
    <t>0,50 / 60,00</t>
  </si>
  <si>
    <t>ai.google.dev/gemini-api/docs/pricing — 2K ≈ $0,101/ảnh; không có context caching; Batch −50%</t>
  </si>
  <si>
    <t>Gemini Nano Banana 2.1 — input / output ảnh (phương án thay thế)</t>
  </si>
  <si>
    <t>1,50 / 30,00</t>
  </si>
  <si>
    <t>ai.google.dev/gemini-api/docs/pricing — 2K ≈ $0,0504/ảnh → Cost/Job ≈ $0,80 nếu đổi (chưa eval chất lượng)</t>
  </si>
  <si>
    <t>Claude Haiku 4.5 — input / output / cache read (xác nhận không đổi)</t>
  </si>
  <si>
    <t>1,00 / 5,00 / 0,10</t>
  </si>
  <si>
    <t>Gemini Flash text — trang hiện ghi 3.8 Flash (KM đến 31/12/2026)</t>
  </si>
  <si>
    <t>ai.google.dev — tên model đã đổi so với 26/08 (3.7 → 3.8); không dùng trong model</t>
  </si>
  <si>
    <t>Tỷ giá</t>
  </si>
  <si>
    <t>USD/VND Vietcombank bán ra (10/09/2026)</t>
  </si>
  <si>
    <t>26.100</t>
  </si>
  <si>
    <t>₫ / USD</t>
  </si>
  <si>
    <t>webgia.com/ty-gia/vietcombank/10-09-2026.html</t>
  </si>
  <si>
    <t>Lương</t>
  </si>
  <si>
    <t>Diễn họa viên / 3D Artist nội thất VN — trung bình</t>
  </si>
  <si>
    <t>16,5tr (12–21tr)</t>
  </si>
  <si>
    <t>₫ / tháng</t>
  </si>
  <si>
    <t>jobsgo.vn/muc-luong-hoa-si-3d.html</t>
  </si>
  <si>
    <t>Interior AI — Pro / Premium / Ultra</t>
  </si>
  <si>
    <t>49 / 99 / 199</t>
  </si>
  <si>
    <t>$ / tháng</t>
  </si>
  <si>
    <t>interiorai.com</t>
  </si>
  <si>
    <t>REimagineHome — Essential / Pro / Advanced / Agency</t>
  </si>
  <si>
    <t>14 / 49 / 79 / 99</t>
  </si>
  <si>
    <t>reimaginehome.ai/pricing (30/200/400/900 credits)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</si>
</sst>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C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3" fontId="5" fillId="4" borderId="1" xfId="0" applyNumberFormat="1" applyFont="1" applyFill="1" applyBorder="1"/>
    <xf numFmtId="165" fontId="4" fillId="3" borderId="1" xfId="0" applyNumberFormat="1" applyFont="1" applyFill="1" applyBorder="1"/>
    <xf numFmtId="166" fontId="5" fillId="4" borderId="1" xfId="0" applyNumberFormat="1" applyFont="1" applyFill="1" applyBorder="1"/>
    <xf numFmtId="166" fontId="8" fillId="4" borderId="1" xfId="0" applyNumberFormat="1" applyFont="1" applyFill="1" applyBorder="1"/>
    <xf numFmtId="164" fontId="5" fillId="4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165" fontId="5" fillId="4" borderId="1" xfId="0" applyNumberFormat="1" applyFont="1" applyFill="1" applyBorder="1"/>
    <xf numFmtId="165" fontId="8" fillId="4" borderId="1" xfId="0" applyNumberFormat="1" applyFont="1" applyFill="1" applyBorder="1"/>
    <xf numFmtId="168" fontId="5" fillId="4" borderId="1" xfId="0" applyNumberFormat="1" applyFont="1" applyFill="1" applyBorder="1"/>
    <xf numFmtId="166" fontId="6" fillId="4" borderId="1" xfId="0" applyNumberFormat="1" applyFont="1" applyFill="1" applyBorder="1"/>
    <xf numFmtId="169" fontId="4" fillId="3" borderId="1" xfId="0" applyNumberFormat="1" applyFont="1" applyFill="1" applyBorder="1"/>
    <xf numFmtId="170" fontId="5" fillId="4" borderId="1" xfId="0" applyNumberFormat="1" applyFont="1" applyFill="1" applyBorder="1"/>
    <xf numFmtId="164" fontId="8" fillId="4" borderId="1" xfId="0" applyNumberFormat="1" applyFont="1" applyFill="1" applyBorder="1"/>
    <xf numFmtId="164" fontId="6" fillId="4" borderId="1" xfId="0" applyNumberFormat="1" applyFont="1" applyFill="1" applyBorder="1"/>
    <xf numFmtId="0" fontId="7" fillId="5" borderId="1" xfId="0" applyFont="1" applyFill="1" applyBorder="1"/>
    <xf numFmtId="164" fontId="5" fillId="5" borderId="1" xfId="0" applyNumberFormat="1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9" fontId="5" fillId="4" borderId="1" xfId="0" applyNumberFormat="1" applyFont="1" applyFill="1" applyBorder="1"/>
    <xf numFmtId="4" fontId="8" fillId="4" borderId="1" xfId="0" applyNumberFormat="1" applyFont="1" applyFill="1" applyBorder="1"/>
    <xf numFmtId="170" fontId="8" fillId="4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9" fillId="2" borderId="1" xfId="0" applyFont="1" applyFill="1" applyBorder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10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/>
  </sheetViews>
  <sheetFormatPr defaultColWidth="8.6640625" defaultRowHeight="14.4" x14ac:dyDescent="0.3"/>
  <cols>
    <col min="1" max="1" width="52" customWidth="1"/>
    <col min="2" max="2" width="62" customWidth="1"/>
    <col min="3" max="8" width="15" customWidth="1"/>
  </cols>
  <sheetData>
    <row r="1" spans="1:8" ht="24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 t="s">
        <v>1</v>
      </c>
    </row>
    <row r="4" spans="1:8" ht="15" customHeight="1" x14ac:dyDescent="0.3">
      <c r="A4" s="4" t="s">
        <v>2</v>
      </c>
    </row>
    <row r="5" spans="1:8" ht="15" customHeight="1" x14ac:dyDescent="0.3">
      <c r="A5" s="5" t="s">
        <v>3</v>
      </c>
      <c r="B5" s="6" t="s">
        <v>4</v>
      </c>
    </row>
    <row r="6" spans="1:8" ht="15" customHeight="1" x14ac:dyDescent="0.3">
      <c r="A6" s="7" t="s">
        <v>5</v>
      </c>
      <c r="B6" s="6" t="s">
        <v>6</v>
      </c>
    </row>
    <row r="7" spans="1:8" ht="15" customHeight="1" x14ac:dyDescent="0.3">
      <c r="A7" s="8" t="s">
        <v>7</v>
      </c>
      <c r="B7" s="6" t="s">
        <v>8</v>
      </c>
    </row>
    <row r="8" spans="1:8" ht="15" customHeight="1" x14ac:dyDescent="0.3">
      <c r="A8" s="9" t="s">
        <v>9</v>
      </c>
      <c r="B8" s="6" t="s">
        <v>10</v>
      </c>
    </row>
    <row r="10" spans="1:8" ht="15" customHeight="1" x14ac:dyDescent="0.3">
      <c r="A10" s="4" t="s">
        <v>11</v>
      </c>
    </row>
    <row r="11" spans="1:8" ht="15" customHeight="1" x14ac:dyDescent="0.3">
      <c r="A11" s="10" t="s">
        <v>12</v>
      </c>
      <c r="B11" s="6" t="s">
        <v>13</v>
      </c>
    </row>
    <row r="12" spans="1:8" ht="15" customHeight="1" x14ac:dyDescent="0.3">
      <c r="A12" s="10" t="s">
        <v>14</v>
      </c>
      <c r="B12" s="6" t="s">
        <v>15</v>
      </c>
    </row>
    <row r="13" spans="1:8" ht="15" customHeight="1" x14ac:dyDescent="0.3">
      <c r="A13" s="10" t="s">
        <v>16</v>
      </c>
      <c r="B13" s="6" t="s">
        <v>17</v>
      </c>
    </row>
    <row r="14" spans="1:8" ht="15" customHeight="1" x14ac:dyDescent="0.3">
      <c r="A14" s="10" t="s">
        <v>18</v>
      </c>
      <c r="B14" s="6" t="s">
        <v>19</v>
      </c>
    </row>
    <row r="15" spans="1:8" ht="15" customHeight="1" x14ac:dyDescent="0.3">
      <c r="A15" s="10" t="s">
        <v>20</v>
      </c>
      <c r="B15" s="6" t="s">
        <v>21</v>
      </c>
    </row>
    <row r="16" spans="1:8" ht="15" customHeight="1" x14ac:dyDescent="0.3">
      <c r="A16" s="10" t="s">
        <v>22</v>
      </c>
      <c r="B16" s="6" t="s">
        <v>23</v>
      </c>
    </row>
    <row r="18" spans="1:1" ht="15" customHeight="1" x14ac:dyDescent="0.3">
      <c r="A18" s="4" t="s">
        <v>24</v>
      </c>
    </row>
    <row r="19" spans="1:1" ht="15" customHeight="1" x14ac:dyDescent="0.3">
      <c r="A19" s="6" t="s">
        <v>25</v>
      </c>
    </row>
    <row r="20" spans="1:1" ht="15" customHeight="1" x14ac:dyDescent="0.3">
      <c r="A20" s="6" t="s">
        <v>26</v>
      </c>
    </row>
    <row r="21" spans="1:1" ht="15" customHeight="1" x14ac:dyDescent="0.3">
      <c r="A21" s="6" t="s">
        <v>27</v>
      </c>
    </row>
    <row r="23" spans="1:1" ht="15" customHeight="1" x14ac:dyDescent="0.3">
      <c r="A23" s="3" t="s">
        <v>28</v>
      </c>
    </row>
    <row r="24" spans="1:1" ht="15" customHeight="1" x14ac:dyDescent="0.3">
      <c r="A24" s="3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2" customWidth="1"/>
    <col min="5" max="8" width="15" customWidth="1"/>
  </cols>
  <sheetData>
    <row r="1" spans="1:8" ht="24" customHeight="1" x14ac:dyDescent="0.3">
      <c r="A1" s="1" t="s">
        <v>30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 t="s">
        <v>31</v>
      </c>
    </row>
    <row r="4" spans="1:8" ht="15" customHeight="1" x14ac:dyDescent="0.3">
      <c r="A4" s="11" t="s">
        <v>32</v>
      </c>
      <c r="B4" s="12"/>
      <c r="C4" s="12"/>
      <c r="D4" s="12"/>
      <c r="E4" s="12"/>
      <c r="F4" s="12"/>
      <c r="G4" s="12"/>
      <c r="H4" s="12"/>
    </row>
    <row r="5" spans="1:8" ht="15" customHeight="1" x14ac:dyDescent="0.3">
      <c r="A5" s="6" t="s">
        <v>33</v>
      </c>
      <c r="B5" s="5" t="s">
        <v>34</v>
      </c>
      <c r="D5" s="3" t="s">
        <v>35</v>
      </c>
    </row>
    <row r="6" spans="1:8" ht="15" customHeight="1" x14ac:dyDescent="0.3">
      <c r="A6" s="6" t="s">
        <v>36</v>
      </c>
      <c r="B6" s="13" t="s">
        <v>37</v>
      </c>
      <c r="D6" s="3" t="s">
        <v>38</v>
      </c>
    </row>
    <row r="8" spans="1:8" ht="15" customHeight="1" x14ac:dyDescent="0.3">
      <c r="A8" s="11" t="s">
        <v>39</v>
      </c>
      <c r="B8" s="12"/>
      <c r="C8" s="12"/>
      <c r="D8" s="12"/>
      <c r="E8" s="12"/>
      <c r="F8" s="12"/>
      <c r="G8" s="12"/>
      <c r="H8" s="12"/>
    </row>
    <row r="9" spans="1:8" ht="15" customHeight="1" x14ac:dyDescent="0.3">
      <c r="A9" s="6" t="s">
        <v>40</v>
      </c>
      <c r="B9" s="14">
        <v>300</v>
      </c>
      <c r="C9" s="3" t="s">
        <v>41</v>
      </c>
    </row>
    <row r="10" spans="1:8" ht="15" customHeight="1" x14ac:dyDescent="0.3">
      <c r="A10" s="6" t="s">
        <v>42</v>
      </c>
      <c r="B10" s="15">
        <v>0.7</v>
      </c>
      <c r="D10" s="3" t="s">
        <v>43</v>
      </c>
    </row>
    <row r="11" spans="1:8" ht="15" customHeight="1" x14ac:dyDescent="0.3">
      <c r="A11" s="6" t="s">
        <v>44</v>
      </c>
      <c r="B11" s="16">
        <f>B9*B10</f>
        <v>210</v>
      </c>
      <c r="C11" s="3" t="s">
        <v>41</v>
      </c>
      <c r="D11" s="3" t="s">
        <v>45</v>
      </c>
    </row>
    <row r="12" spans="1:8" ht="15" customHeight="1" x14ac:dyDescent="0.3">
      <c r="A12" s="6" t="s">
        <v>46</v>
      </c>
      <c r="B12" s="16">
        <f>B9-B11</f>
        <v>90</v>
      </c>
      <c r="C12" s="3" t="s">
        <v>41</v>
      </c>
      <c r="D12" s="3" t="s">
        <v>47</v>
      </c>
    </row>
    <row r="14" spans="1:8" ht="15" customHeight="1" x14ac:dyDescent="0.3">
      <c r="A14" s="11" t="s">
        <v>48</v>
      </c>
      <c r="B14" s="12"/>
      <c r="C14" s="12"/>
      <c r="D14" s="12"/>
      <c r="E14" s="12"/>
      <c r="F14" s="12"/>
      <c r="G14" s="12"/>
      <c r="H14" s="12"/>
    </row>
    <row r="15" spans="1:8" ht="15" customHeight="1" x14ac:dyDescent="0.3">
      <c r="A15" s="6" t="s">
        <v>49</v>
      </c>
      <c r="B15" s="17">
        <v>0.5</v>
      </c>
      <c r="D15" s="3" t="s">
        <v>50</v>
      </c>
    </row>
    <row r="16" spans="1:8" ht="15" customHeight="1" x14ac:dyDescent="0.3">
      <c r="A16" s="6" t="s">
        <v>51</v>
      </c>
      <c r="B16" s="17">
        <v>60</v>
      </c>
    </row>
    <row r="17" spans="1:4" ht="15" customHeight="1" x14ac:dyDescent="0.3">
      <c r="A17" s="6" t="s">
        <v>52</v>
      </c>
      <c r="B17" s="17">
        <v>0.5</v>
      </c>
      <c r="D17" s="3" t="s">
        <v>53</v>
      </c>
    </row>
    <row r="18" spans="1:4" ht="15" customHeight="1" x14ac:dyDescent="0.3">
      <c r="A18" s="6" t="s">
        <v>54</v>
      </c>
      <c r="B18" s="17">
        <v>0.5</v>
      </c>
      <c r="D18" s="3" t="s">
        <v>55</v>
      </c>
    </row>
    <row r="19" spans="1:4" ht="15" customHeight="1" x14ac:dyDescent="0.3">
      <c r="A19" s="6" t="s">
        <v>56</v>
      </c>
      <c r="B19" s="14">
        <v>5</v>
      </c>
      <c r="C19" s="3" t="s">
        <v>57</v>
      </c>
    </row>
    <row r="20" spans="1:4" ht="15" customHeight="1" x14ac:dyDescent="0.3">
      <c r="A20" s="6" t="s">
        <v>58</v>
      </c>
      <c r="B20" s="14">
        <v>2600</v>
      </c>
      <c r="C20" s="3" t="s">
        <v>59</v>
      </c>
      <c r="D20" s="3" t="s">
        <v>60</v>
      </c>
    </row>
    <row r="21" spans="1:4" ht="15" customHeight="1" x14ac:dyDescent="0.3">
      <c r="A21" s="6" t="s">
        <v>61</v>
      </c>
      <c r="B21" s="14">
        <v>1800</v>
      </c>
      <c r="C21" s="3" t="s">
        <v>59</v>
      </c>
      <c r="D21" s="3" t="s">
        <v>62</v>
      </c>
    </row>
    <row r="22" spans="1:4" ht="15" customHeight="1" x14ac:dyDescent="0.3">
      <c r="A22" s="6" t="s">
        <v>63</v>
      </c>
      <c r="B22" s="14">
        <v>1680</v>
      </c>
      <c r="C22" s="3" t="s">
        <v>59</v>
      </c>
    </row>
    <row r="23" spans="1:4" ht="15" customHeight="1" x14ac:dyDescent="0.3">
      <c r="A23" s="6" t="s">
        <v>64</v>
      </c>
      <c r="B23" s="18">
        <f>B20*B17/1000000</f>
        <v>1.2999999999999999E-3</v>
      </c>
    </row>
    <row r="24" spans="1:4" ht="15" customHeight="1" x14ac:dyDescent="0.3">
      <c r="A24" s="6" t="s">
        <v>65</v>
      </c>
      <c r="B24" s="18">
        <f>(B19-1)*B20*B18/1000000</f>
        <v>5.1999999999999998E-3</v>
      </c>
    </row>
    <row r="25" spans="1:4" ht="15" customHeight="1" x14ac:dyDescent="0.3">
      <c r="A25" s="6" t="s">
        <v>66</v>
      </c>
      <c r="B25" s="18">
        <f>B19*B21*B15/1000000</f>
        <v>4.4999999999999997E-3</v>
      </c>
    </row>
    <row r="26" spans="1:4" ht="15" customHeight="1" x14ac:dyDescent="0.3">
      <c r="A26" s="6" t="s">
        <v>67</v>
      </c>
      <c r="B26" s="18">
        <f>B19*B22*B16/1000000</f>
        <v>0.504</v>
      </c>
    </row>
    <row r="27" spans="1:4" ht="15" customHeight="1" x14ac:dyDescent="0.3">
      <c r="A27" s="10" t="s">
        <v>68</v>
      </c>
      <c r="B27" s="19">
        <f>SUM(B23:B26)</f>
        <v>0.51500000000000001</v>
      </c>
    </row>
    <row r="28" spans="1:4" ht="15" customHeight="1" x14ac:dyDescent="0.3">
      <c r="A28" s="6" t="s">
        <v>69</v>
      </c>
      <c r="B28" s="18">
        <f>B19*(B20+B21)*B15/1000000+B26</f>
        <v>0.51500000000000001</v>
      </c>
    </row>
    <row r="29" spans="1:4" ht="15" customHeight="1" x14ac:dyDescent="0.3">
      <c r="A29" s="6" t="s">
        <v>70</v>
      </c>
      <c r="B29" s="20">
        <f>IF(B28=0,0,1-B27/B28)</f>
        <v>0</v>
      </c>
      <c r="D29" s="3" t="s">
        <v>71</v>
      </c>
    </row>
    <row r="30" spans="1:4" ht="15" customHeight="1" x14ac:dyDescent="0.3">
      <c r="A30" s="6" t="s">
        <v>72</v>
      </c>
      <c r="B30" s="14">
        <v>0</v>
      </c>
      <c r="D30" s="3" t="s">
        <v>73</v>
      </c>
    </row>
    <row r="31" spans="1:4" ht="15" customHeight="1" x14ac:dyDescent="0.3">
      <c r="A31" s="10" t="s">
        <v>74</v>
      </c>
      <c r="B31" s="19">
        <f>B27*(1-B30*0.5)</f>
        <v>0.51500000000000001</v>
      </c>
    </row>
    <row r="33" spans="1:8" ht="15" customHeight="1" x14ac:dyDescent="0.3">
      <c r="A33" s="11" t="s">
        <v>75</v>
      </c>
      <c r="B33" s="12"/>
      <c r="C33" s="12"/>
      <c r="D33" s="12"/>
      <c r="E33" s="12"/>
      <c r="F33" s="12"/>
      <c r="G33" s="12"/>
      <c r="H33" s="12"/>
    </row>
    <row r="34" spans="1:8" ht="15" customHeight="1" x14ac:dyDescent="0.3">
      <c r="A34" s="6" t="s">
        <v>76</v>
      </c>
      <c r="B34" s="21">
        <v>0</v>
      </c>
      <c r="D34" s="3" t="s">
        <v>77</v>
      </c>
    </row>
    <row r="35" spans="1:8" ht="15" customHeight="1" x14ac:dyDescent="0.3">
      <c r="A35" s="6" t="s">
        <v>78</v>
      </c>
      <c r="B35" s="22">
        <v>0</v>
      </c>
      <c r="C35" s="3" t="s">
        <v>79</v>
      </c>
    </row>
    <row r="36" spans="1:8" ht="15" customHeight="1" x14ac:dyDescent="0.3">
      <c r="A36" s="6" t="s">
        <v>80</v>
      </c>
      <c r="B36" s="17">
        <v>0</v>
      </c>
      <c r="D36" s="3" t="s">
        <v>81</v>
      </c>
    </row>
    <row r="37" spans="1:8" ht="15" customHeight="1" x14ac:dyDescent="0.3">
      <c r="A37" s="6" t="s">
        <v>82</v>
      </c>
      <c r="B37" s="14">
        <v>0</v>
      </c>
      <c r="C37" s="3" t="s">
        <v>83</v>
      </c>
      <c r="D37" s="3" t="s">
        <v>84</v>
      </c>
    </row>
    <row r="38" spans="1:8" ht="15" customHeight="1" x14ac:dyDescent="0.3">
      <c r="A38" s="6" t="s">
        <v>85</v>
      </c>
      <c r="B38" s="18">
        <f>B34*B35+B36*B37/1000000</f>
        <v>0</v>
      </c>
    </row>
    <row r="40" spans="1:8" ht="15" customHeight="1" x14ac:dyDescent="0.3">
      <c r="A40" s="11" t="s">
        <v>86</v>
      </c>
      <c r="B40" s="12"/>
      <c r="C40" s="12"/>
      <c r="D40" s="12"/>
      <c r="E40" s="12"/>
      <c r="F40" s="12"/>
      <c r="G40" s="12"/>
      <c r="H40" s="12"/>
    </row>
    <row r="41" spans="1:8" ht="15" customHeight="1" x14ac:dyDescent="0.3">
      <c r="A41" s="6" t="s">
        <v>87</v>
      </c>
      <c r="B41" s="21">
        <v>0.23200000000000001</v>
      </c>
      <c r="D41" s="3" t="s">
        <v>88</v>
      </c>
    </row>
    <row r="42" spans="1:8" ht="15" customHeight="1" x14ac:dyDescent="0.3">
      <c r="A42" s="6" t="s">
        <v>89</v>
      </c>
      <c r="B42" s="21">
        <v>0</v>
      </c>
    </row>
    <row r="43" spans="1:8" ht="15" customHeight="1" x14ac:dyDescent="0.3">
      <c r="A43" s="6" t="s">
        <v>90</v>
      </c>
      <c r="B43" s="18">
        <f>B41+B42*B35</f>
        <v>0.23200000000000001</v>
      </c>
    </row>
    <row r="45" spans="1:8" ht="15" customHeight="1" x14ac:dyDescent="0.3">
      <c r="A45" s="11" t="s">
        <v>91</v>
      </c>
      <c r="B45" s="12"/>
      <c r="C45" s="12"/>
      <c r="D45" s="12"/>
      <c r="E45" s="12"/>
      <c r="F45" s="12"/>
      <c r="G45" s="12"/>
      <c r="H45" s="12"/>
    </row>
    <row r="46" spans="1:8" ht="15" customHeight="1" x14ac:dyDescent="0.3">
      <c r="A46" s="6" t="s">
        <v>92</v>
      </c>
      <c r="B46" s="15">
        <v>0.1</v>
      </c>
      <c r="D46" s="3" t="s">
        <v>93</v>
      </c>
    </row>
    <row r="47" spans="1:8" ht="15" customHeight="1" x14ac:dyDescent="0.3">
      <c r="A47" s="6" t="s">
        <v>94</v>
      </c>
      <c r="B47" s="18">
        <f>(B31+B38)*B46</f>
        <v>5.1500000000000004E-2</v>
      </c>
    </row>
    <row r="49" spans="1:8" ht="15" customHeight="1" x14ac:dyDescent="0.3">
      <c r="A49" s="11" t="s">
        <v>95</v>
      </c>
      <c r="B49" s="12"/>
      <c r="C49" s="12"/>
      <c r="D49" s="12"/>
      <c r="E49" s="12"/>
      <c r="F49" s="12"/>
      <c r="G49" s="12"/>
      <c r="H49" s="12"/>
    </row>
    <row r="50" spans="1:8" ht="15" customHeight="1" x14ac:dyDescent="0.3">
      <c r="A50" s="6" t="s">
        <v>96</v>
      </c>
      <c r="B50" s="17">
        <v>5</v>
      </c>
      <c r="D50" s="3" t="s">
        <v>97</v>
      </c>
    </row>
    <row r="51" spans="1:8" ht="15" customHeight="1" x14ac:dyDescent="0.3">
      <c r="A51" s="6" t="s">
        <v>98</v>
      </c>
      <c r="B51" s="15">
        <v>0.05</v>
      </c>
      <c r="D51" s="3" t="s">
        <v>99</v>
      </c>
    </row>
    <row r="52" spans="1:8" ht="15" customHeight="1" x14ac:dyDescent="0.3">
      <c r="A52" s="6" t="s">
        <v>100</v>
      </c>
      <c r="B52" s="22">
        <v>3</v>
      </c>
      <c r="C52" s="3" t="s">
        <v>79</v>
      </c>
    </row>
    <row r="53" spans="1:8" ht="15" customHeight="1" x14ac:dyDescent="0.3">
      <c r="A53" s="6" t="s">
        <v>101</v>
      </c>
      <c r="B53" s="22">
        <v>45</v>
      </c>
      <c r="C53" s="3" t="s">
        <v>79</v>
      </c>
    </row>
    <row r="54" spans="1:8" ht="15" customHeight="1" x14ac:dyDescent="0.3">
      <c r="A54" s="6" t="s">
        <v>102</v>
      </c>
      <c r="B54" s="23">
        <f>B9*B51*(B52/60)*B50</f>
        <v>3.75</v>
      </c>
    </row>
    <row r="55" spans="1:8" ht="15" customHeight="1" x14ac:dyDescent="0.3">
      <c r="A55" s="6" t="s">
        <v>103</v>
      </c>
      <c r="B55" s="23">
        <f>IF(B6="B",B12*(B53/60)*B50,0)</f>
        <v>0</v>
      </c>
      <c r="D55" s="3" t="s">
        <v>104</v>
      </c>
    </row>
    <row r="56" spans="1:8" ht="15" customHeight="1" x14ac:dyDescent="0.3">
      <c r="A56" s="10" t="s">
        <v>105</v>
      </c>
      <c r="B56" s="24">
        <f>B54+B55</f>
        <v>3.75</v>
      </c>
    </row>
    <row r="58" spans="1:8" ht="15" customHeight="1" x14ac:dyDescent="0.3">
      <c r="A58" s="11" t="s">
        <v>106</v>
      </c>
      <c r="B58" s="12"/>
      <c r="C58" s="12"/>
      <c r="D58" s="12"/>
      <c r="E58" s="12"/>
      <c r="F58" s="12"/>
      <c r="G58" s="12"/>
      <c r="H58" s="12"/>
    </row>
    <row r="59" spans="1:8" ht="15" customHeight="1" x14ac:dyDescent="0.3">
      <c r="A59" s="6" t="s">
        <v>107</v>
      </c>
      <c r="B59" s="17">
        <v>250</v>
      </c>
      <c r="D59" s="3" t="s">
        <v>108</v>
      </c>
    </row>
    <row r="61" spans="1:8" ht="15" customHeight="1" x14ac:dyDescent="0.3">
      <c r="A61" s="11" t="s">
        <v>109</v>
      </c>
      <c r="B61" s="12"/>
      <c r="C61" s="12"/>
      <c r="D61" s="12"/>
      <c r="E61" s="12"/>
      <c r="F61" s="12"/>
      <c r="G61" s="12"/>
      <c r="H61" s="12"/>
    </row>
    <row r="62" spans="1:8" ht="15" customHeight="1" x14ac:dyDescent="0.3">
      <c r="A62" s="6" t="s">
        <v>110</v>
      </c>
      <c r="B62" s="23">
        <f>B9*(B31+B38+B43+B47)</f>
        <v>239.54999999999998</v>
      </c>
    </row>
    <row r="63" spans="1:8" ht="15" customHeight="1" x14ac:dyDescent="0.3">
      <c r="A63" s="6" t="s">
        <v>111</v>
      </c>
      <c r="B63" s="23">
        <f>B56</f>
        <v>3.75</v>
      </c>
    </row>
    <row r="64" spans="1:8" ht="15" customHeight="1" x14ac:dyDescent="0.3">
      <c r="A64" s="6" t="s">
        <v>112</v>
      </c>
      <c r="B64" s="23">
        <f>B59</f>
        <v>250</v>
      </c>
    </row>
    <row r="65" spans="1:8" ht="15" customHeight="1" x14ac:dyDescent="0.3">
      <c r="A65" s="6" t="s">
        <v>113</v>
      </c>
      <c r="B65" s="23">
        <f>B62+B63+B64</f>
        <v>493.29999999999995</v>
      </c>
    </row>
    <row r="66" spans="1:8" ht="15" customHeight="1" x14ac:dyDescent="0.3">
      <c r="A66" s="10" t="s">
        <v>114</v>
      </c>
      <c r="B66" s="19">
        <f>IF(B11=0,0,(B62+B63)/B11)</f>
        <v>1.1585714285714286</v>
      </c>
      <c r="C66" s="3" t="s">
        <v>115</v>
      </c>
      <c r="D66" s="3" t="s">
        <v>116</v>
      </c>
    </row>
    <row r="67" spans="1:8" ht="15" customHeight="1" x14ac:dyDescent="0.3">
      <c r="A67" s="10" t="s">
        <v>117</v>
      </c>
      <c r="B67" s="19">
        <f>IF(B11=0,0,B65/B11)</f>
        <v>2.3490476190476191</v>
      </c>
      <c r="C67" s="3" t="s">
        <v>115</v>
      </c>
    </row>
    <row r="68" spans="1:8" ht="15" customHeight="1" x14ac:dyDescent="0.3">
      <c r="A68" s="6" t="s">
        <v>118</v>
      </c>
      <c r="B68" s="14">
        <v>26100</v>
      </c>
      <c r="C68" s="3" t="s">
        <v>119</v>
      </c>
      <c r="D68" s="3" t="s">
        <v>120</v>
      </c>
    </row>
    <row r="69" spans="1:8" ht="15" customHeight="1" x14ac:dyDescent="0.3">
      <c r="A69" s="6" t="s">
        <v>121</v>
      </c>
      <c r="B69" s="25">
        <f>B66*B68</f>
        <v>30238.714285714286</v>
      </c>
      <c r="C69" s="3" t="s">
        <v>122</v>
      </c>
    </row>
    <row r="71" spans="1:8" ht="15" customHeight="1" x14ac:dyDescent="0.3">
      <c r="A71" s="11" t="s">
        <v>123</v>
      </c>
      <c r="B71" s="12"/>
      <c r="C71" s="12"/>
      <c r="D71" s="12"/>
      <c r="E71" s="12"/>
      <c r="F71" s="12"/>
      <c r="G71" s="12"/>
      <c r="H71" s="12"/>
    </row>
    <row r="72" spans="1:8" ht="15" customHeight="1" x14ac:dyDescent="0.3">
      <c r="A72" s="6" t="s">
        <v>124</v>
      </c>
      <c r="B72" s="23">
        <f>B9*B31</f>
        <v>154.5</v>
      </c>
      <c r="C72" s="20">
        <f t="shared" ref="C72:C77" si="0">IF($B$65=0,0,B72/$B$65)</f>
        <v>0.31319683762416384</v>
      </c>
    </row>
    <row r="73" spans="1:8" ht="15" customHeight="1" x14ac:dyDescent="0.3">
      <c r="A73" s="6" t="s">
        <v>125</v>
      </c>
      <c r="B73" s="23">
        <f>B9*B38</f>
        <v>0</v>
      </c>
      <c r="C73" s="20">
        <f t="shared" si="0"/>
        <v>0</v>
      </c>
    </row>
    <row r="74" spans="1:8" ht="15" customHeight="1" x14ac:dyDescent="0.3">
      <c r="A74" s="6" t="s">
        <v>126</v>
      </c>
      <c r="B74" s="23">
        <f>B9*B43</f>
        <v>69.600000000000009</v>
      </c>
      <c r="C74" s="20">
        <f t="shared" si="0"/>
        <v>0.1410906142306913</v>
      </c>
    </row>
    <row r="75" spans="1:8" ht="15" customHeight="1" x14ac:dyDescent="0.3">
      <c r="A75" s="6" t="s">
        <v>127</v>
      </c>
      <c r="B75" s="23">
        <f>B9*B47</f>
        <v>15.450000000000001</v>
      </c>
      <c r="C75" s="20">
        <f t="shared" si="0"/>
        <v>3.1319683762416388E-2</v>
      </c>
    </row>
    <row r="76" spans="1:8" ht="15" customHeight="1" x14ac:dyDescent="0.3">
      <c r="A76" s="6" t="s">
        <v>128</v>
      </c>
      <c r="B76" s="23">
        <f>B56</f>
        <v>3.75</v>
      </c>
      <c r="C76" s="20">
        <f t="shared" si="0"/>
        <v>7.6018649908777625E-3</v>
      </c>
    </row>
    <row r="77" spans="1:8" ht="15" customHeight="1" x14ac:dyDescent="0.3">
      <c r="A77" s="6" t="s">
        <v>129</v>
      </c>
      <c r="B77" s="23">
        <f>B59</f>
        <v>250</v>
      </c>
      <c r="C77" s="20">
        <f t="shared" si="0"/>
        <v>0.50679099939185079</v>
      </c>
    </row>
    <row r="78" spans="1:8" ht="15" customHeight="1" x14ac:dyDescent="0.3">
      <c r="A78" s="3" t="s">
        <v>130</v>
      </c>
    </row>
  </sheetData>
  <dataValidations count="1">
    <dataValidation type="list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3">
      <c r="A1" s="1" t="s">
        <v>131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 t="s">
        <v>132</v>
      </c>
    </row>
    <row r="4" spans="1:8" ht="15" customHeight="1" x14ac:dyDescent="0.3">
      <c r="A4" s="11" t="s">
        <v>133</v>
      </c>
      <c r="B4" s="12"/>
      <c r="C4" s="12"/>
      <c r="D4" s="12"/>
      <c r="E4" s="12"/>
      <c r="F4" s="12"/>
      <c r="G4" s="12"/>
      <c r="H4" s="12"/>
    </row>
    <row r="5" spans="1:8" ht="15" customHeight="1" x14ac:dyDescent="0.3">
      <c r="A5" s="6" t="s">
        <v>134</v>
      </c>
      <c r="B5" s="26">
        <f>'1_Cost_Job'!B66</f>
        <v>1.1585714285714286</v>
      </c>
      <c r="C5" s="3" t="s">
        <v>115</v>
      </c>
    </row>
    <row r="6" spans="1:8" ht="15" customHeight="1" x14ac:dyDescent="0.3">
      <c r="A6" s="6" t="s">
        <v>135</v>
      </c>
      <c r="B6" s="22">
        <v>3</v>
      </c>
      <c r="C6" s="3" t="s">
        <v>136</v>
      </c>
      <c r="D6" s="3" t="s">
        <v>137</v>
      </c>
    </row>
    <row r="7" spans="1:8" ht="15" customHeight="1" x14ac:dyDescent="0.3">
      <c r="A7" s="10" t="s">
        <v>138</v>
      </c>
      <c r="B7" s="19">
        <f>B5*B6</f>
        <v>3.475714285714286</v>
      </c>
      <c r="C7" s="3" t="s">
        <v>115</v>
      </c>
    </row>
    <row r="9" spans="1:8" ht="15" customHeight="1" x14ac:dyDescent="0.3">
      <c r="A9" s="11" t="s">
        <v>139</v>
      </c>
      <c r="B9" s="12"/>
      <c r="C9" s="12"/>
      <c r="D9" s="12"/>
      <c r="E9" s="12"/>
      <c r="F9" s="12"/>
      <c r="G9" s="12"/>
      <c r="H9" s="12"/>
    </row>
    <row r="10" spans="1:8" ht="15" customHeight="1" x14ac:dyDescent="0.3">
      <c r="A10" s="6" t="s">
        <v>140</v>
      </c>
      <c r="B10" s="27">
        <v>251</v>
      </c>
      <c r="D10" s="3" t="s">
        <v>141</v>
      </c>
    </row>
    <row r="11" spans="1:8" ht="15" customHeight="1" x14ac:dyDescent="0.3">
      <c r="A11" s="6" t="s">
        <v>142</v>
      </c>
      <c r="B11" s="14">
        <v>3.5</v>
      </c>
      <c r="C11" s="3" t="s">
        <v>41</v>
      </c>
    </row>
    <row r="12" spans="1:8" ht="15" customHeight="1" x14ac:dyDescent="0.3">
      <c r="A12" s="6" t="s">
        <v>143</v>
      </c>
      <c r="B12" s="18">
        <f>IF(B11=0,0,B10*0.1/B11)</f>
        <v>7.1714285714285717</v>
      </c>
      <c r="C12" s="3" t="s">
        <v>115</v>
      </c>
    </row>
    <row r="13" spans="1:8" ht="15" customHeight="1" x14ac:dyDescent="0.3">
      <c r="A13" s="6" t="s">
        <v>144</v>
      </c>
      <c r="B13" s="18">
        <f>IF(B11=0,0,B10*0.25/B11)</f>
        <v>17.928571428571427</v>
      </c>
      <c r="C13" s="3" t="s">
        <v>115</v>
      </c>
    </row>
    <row r="14" spans="1:8" ht="15" customHeight="1" x14ac:dyDescent="0.3">
      <c r="A14" s="6" t="s">
        <v>145</v>
      </c>
      <c r="B14" s="27">
        <v>302</v>
      </c>
      <c r="D14" s="3" t="s">
        <v>146</v>
      </c>
    </row>
    <row r="15" spans="1:8" ht="15" customHeight="1" x14ac:dyDescent="0.3">
      <c r="A15" s="6" t="s">
        <v>147</v>
      </c>
      <c r="B15" s="18">
        <f>IF(B11=0,0,B14*0.5/B11)</f>
        <v>43.142857142857146</v>
      </c>
      <c r="C15" s="3" t="s">
        <v>115</v>
      </c>
    </row>
    <row r="16" spans="1:8" ht="15" customHeight="1" x14ac:dyDescent="0.3">
      <c r="A16" s="6" t="s">
        <v>148</v>
      </c>
      <c r="B16" s="18">
        <f>IF(B11=0,0,B14*0.7/B11)</f>
        <v>60.399999999999991</v>
      </c>
      <c r="C16" s="3" t="s">
        <v>115</v>
      </c>
    </row>
    <row r="18" spans="1:8" ht="15" customHeight="1" x14ac:dyDescent="0.3">
      <c r="A18" s="11" t="s">
        <v>149</v>
      </c>
      <c r="B18" s="12"/>
      <c r="C18" s="12"/>
      <c r="D18" s="12"/>
      <c r="E18" s="12"/>
      <c r="F18" s="12"/>
      <c r="G18" s="12"/>
      <c r="H18" s="12"/>
    </row>
    <row r="19" spans="1:8" ht="15" customHeight="1" x14ac:dyDescent="0.3">
      <c r="A19" s="6" t="s">
        <v>150</v>
      </c>
      <c r="B19" s="21">
        <v>4.78</v>
      </c>
      <c r="C19" s="3" t="s">
        <v>115</v>
      </c>
      <c r="D19" s="3" t="s">
        <v>151</v>
      </c>
    </row>
    <row r="20" spans="1:8" ht="15" customHeight="1" x14ac:dyDescent="0.3">
      <c r="A20" s="6" t="s">
        <v>152</v>
      </c>
      <c r="B20" s="28">
        <f>IF(B5=0,0,B19/B5)</f>
        <v>4.1257706535141798</v>
      </c>
    </row>
    <row r="21" spans="1:8" ht="15" customHeight="1" x14ac:dyDescent="0.3">
      <c r="A21" s="10" t="s">
        <v>153</v>
      </c>
      <c r="B21" s="29">
        <f>IF(B19=0,0,(B19-B5)/B19)</f>
        <v>0.75762104004781838</v>
      </c>
    </row>
    <row r="22" spans="1:8" ht="15" customHeight="1" x14ac:dyDescent="0.3">
      <c r="A22" s="6" t="s">
        <v>154</v>
      </c>
      <c r="B22" s="7" t="str">
        <f>IF(B20&gt;=B6,"OK — ĐẠT","KHÔNG ĐẠT — quay lại tab 1")</f>
        <v>OK — ĐẠT</v>
      </c>
    </row>
    <row r="23" spans="1:8" ht="15" customHeight="1" x14ac:dyDescent="0.3">
      <c r="A23" s="6" t="s">
        <v>155</v>
      </c>
      <c r="B23" s="7" t="str">
        <f>IF(B21&gt;=0.6,"OK — AN TOÀN (≥60%)",IF(B21&gt;=0.5,"CẢNH BÁO (50–60%)","NGUY HIỂM (&lt;50%)"))</f>
        <v>OK — AN TOÀN (≥60%)</v>
      </c>
    </row>
    <row r="24" spans="1:8" ht="15" customHeight="1" x14ac:dyDescent="0.3">
      <c r="A24" s="6" t="s">
        <v>156</v>
      </c>
      <c r="B24" s="7" t="str">
        <f>IF(B21&gt;0.85,"NGHI NGỜ — nhiều khả năng bạn quên một khoản chi phí","OK")</f>
        <v>OK</v>
      </c>
    </row>
    <row r="25" spans="1:8" ht="15" customHeight="1" x14ac:dyDescent="0.3">
      <c r="A25" s="6" t="s">
        <v>157</v>
      </c>
      <c r="B25" s="7" t="str">
        <f>IF(AND(B19&gt;=B7,B19&lt;=MAX(B13,B16)),"OK — trong vùng giá bán","XEM LẠI — ngoài vùng giá sàn/trần")</f>
        <v>OK — trong vùng giá bán</v>
      </c>
    </row>
    <row r="27" spans="1:8" ht="15" customHeight="1" x14ac:dyDescent="0.3">
      <c r="A27" s="11" t="s">
        <v>158</v>
      </c>
      <c r="B27" s="12"/>
      <c r="C27" s="12"/>
      <c r="D27" s="12"/>
      <c r="E27" s="12"/>
      <c r="F27" s="12"/>
      <c r="G27" s="12"/>
      <c r="H27" s="12"/>
    </row>
    <row r="28" spans="1:8" ht="15" customHeight="1" x14ac:dyDescent="0.3">
      <c r="A28" s="3" t="s">
        <v>159</v>
      </c>
    </row>
    <row r="29" spans="1:8" ht="15" customHeight="1" x14ac:dyDescent="0.3">
      <c r="A29" s="6" t="s">
        <v>160</v>
      </c>
      <c r="B29" s="26">
        <f>'1_Cost_Job'!B31+'1_Cost_Job'!B38+'1_Cost_Job'!B43+'1_Cost_Job'!B47</f>
        <v>0.79849999999999999</v>
      </c>
    </row>
    <row r="30" spans="1:8" ht="15" customHeight="1" x14ac:dyDescent="0.3">
      <c r="A30" s="6" t="s">
        <v>161</v>
      </c>
      <c r="B30" s="26">
        <f>'1_Cost_Job'!B51*('1_Cost_Job'!B52/60)*'1_Cost_Job'!B50</f>
        <v>1.2500000000000002E-2</v>
      </c>
    </row>
    <row r="31" spans="1:8" ht="15" customHeight="1" x14ac:dyDescent="0.3">
      <c r="A31" s="6" t="s">
        <v>162</v>
      </c>
      <c r="B31" s="26">
        <f>IF('1_Cost_Job'!B6="B",('1_Cost_Job'!B53/60)*'1_Cost_Job'!B50,0)</f>
        <v>0</v>
      </c>
    </row>
    <row r="32" spans="1:8" ht="15" customHeight="1" x14ac:dyDescent="0.3">
      <c r="A32" s="6" t="s">
        <v>163</v>
      </c>
      <c r="B32" s="15">
        <v>0.6</v>
      </c>
    </row>
    <row r="33" spans="1:8" ht="15" customHeight="1" x14ac:dyDescent="0.3">
      <c r="A33" s="10" t="s">
        <v>164</v>
      </c>
      <c r="B33" s="29">
        <f>IF((B19*(1-B32)+B31)=0,0,(B29+B30+B31)/(B19*(1-B32)+B31))</f>
        <v>0.42416317991631791</v>
      </c>
      <c r="D33" s="3" t="s">
        <v>165</v>
      </c>
    </row>
    <row r="34" spans="1:8" ht="15" customHeight="1" x14ac:dyDescent="0.3">
      <c r="A34" s="6" t="s">
        <v>166</v>
      </c>
      <c r="B34" s="30">
        <f>'1_Cost_Job'!B10</f>
        <v>0.7</v>
      </c>
    </row>
    <row r="35" spans="1:8" ht="15" customHeight="1" x14ac:dyDescent="0.3">
      <c r="A35" s="6" t="s">
        <v>167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ht="15" customHeight="1" x14ac:dyDescent="0.3">
      <c r="A37" s="11" t="s">
        <v>168</v>
      </c>
      <c r="B37" s="12"/>
      <c r="C37" s="12"/>
      <c r="D37" s="12"/>
      <c r="E37" s="12"/>
      <c r="F37" s="12"/>
      <c r="G37" s="12"/>
      <c r="H37" s="12"/>
    </row>
    <row r="38" spans="1:8" ht="15" customHeight="1" x14ac:dyDescent="0.3">
      <c r="A38" s="31" t="s">
        <v>169</v>
      </c>
      <c r="B38" s="31" t="s">
        <v>170</v>
      </c>
      <c r="C38" s="31" t="s">
        <v>171</v>
      </c>
      <c r="D38" s="31" t="s">
        <v>172</v>
      </c>
    </row>
    <row r="39" spans="1:8" ht="15" customHeight="1" x14ac:dyDescent="0.3">
      <c r="A39" s="32">
        <v>0.5</v>
      </c>
      <c r="B39" s="18">
        <f t="shared" ref="B39:B44" si="0">($B$29+$B$30+$B$31*(1-A39))/A39</f>
        <v>1.6219999999999999</v>
      </c>
      <c r="C39" s="20">
        <f t="shared" ref="C39:C44" si="1">IF($B$19=0,0,1-B39/$B$19)</f>
        <v>0.66066945606694572</v>
      </c>
      <c r="D39" s="7" t="str">
        <f t="shared" ref="D39:D44" si="2">IF(C39&gt;=0.6,"An toàn",IF(C39&gt;=0.5,"Cảnh báo","Nguy hiểm"))</f>
        <v>An toàn</v>
      </c>
    </row>
    <row r="40" spans="1:8" ht="15" customHeight="1" x14ac:dyDescent="0.3">
      <c r="A40" s="32">
        <v>0.6</v>
      </c>
      <c r="B40" s="18">
        <f t="shared" si="0"/>
        <v>1.3516666666666666</v>
      </c>
      <c r="C40" s="20">
        <f t="shared" si="1"/>
        <v>0.71722454672245473</v>
      </c>
      <c r="D40" s="7" t="str">
        <f t="shared" si="2"/>
        <v>An toàn</v>
      </c>
    </row>
    <row r="41" spans="1:8" ht="15" customHeight="1" x14ac:dyDescent="0.3">
      <c r="A41" s="32">
        <v>0.7</v>
      </c>
      <c r="B41" s="18">
        <f t="shared" si="0"/>
        <v>1.1585714285714286</v>
      </c>
      <c r="C41" s="20">
        <f t="shared" si="1"/>
        <v>0.75762104004781827</v>
      </c>
      <c r="D41" s="7" t="str">
        <f t="shared" si="2"/>
        <v>An toàn</v>
      </c>
    </row>
    <row r="42" spans="1:8" ht="15" customHeight="1" x14ac:dyDescent="0.3">
      <c r="A42" s="32">
        <v>0.8</v>
      </c>
      <c r="B42" s="18">
        <f t="shared" si="0"/>
        <v>1.0137499999999999</v>
      </c>
      <c r="C42" s="20">
        <f t="shared" si="1"/>
        <v>0.78791841004184104</v>
      </c>
      <c r="D42" s="7" t="str">
        <f t="shared" si="2"/>
        <v>An toàn</v>
      </c>
    </row>
    <row r="43" spans="1:8" ht="15" customHeight="1" x14ac:dyDescent="0.3">
      <c r="A43" s="32">
        <v>0.9</v>
      </c>
      <c r="B43" s="18">
        <f t="shared" si="0"/>
        <v>0.90111111111111097</v>
      </c>
      <c r="C43" s="20">
        <f t="shared" si="1"/>
        <v>0.81148303114830311</v>
      </c>
      <c r="D43" s="7" t="str">
        <f t="shared" si="2"/>
        <v>An toàn</v>
      </c>
    </row>
    <row r="44" spans="1:8" ht="15" customHeight="1" x14ac:dyDescent="0.3">
      <c r="A44" s="32">
        <v>0.95</v>
      </c>
      <c r="B44" s="18">
        <f t="shared" si="0"/>
        <v>0.85368421052631582</v>
      </c>
      <c r="C44" s="20">
        <f t="shared" si="1"/>
        <v>0.82140497687733982</v>
      </c>
      <c r="D44" s="7" t="str">
        <f t="shared" si="2"/>
        <v>An toàn</v>
      </c>
    </row>
    <row r="46" spans="1:8" ht="15" customHeight="1" x14ac:dyDescent="0.3">
      <c r="A46" s="3" t="s">
        <v>173</v>
      </c>
    </row>
    <row r="48" spans="1:8" ht="15" customHeight="1" x14ac:dyDescent="0.3">
      <c r="A48" s="11" t="s">
        <v>174</v>
      </c>
      <c r="B48" s="12"/>
      <c r="C48" s="12"/>
      <c r="D48" s="12"/>
      <c r="E48" s="12"/>
      <c r="F48" s="12"/>
      <c r="G48" s="12"/>
      <c r="H48" s="12"/>
    </row>
    <row r="49" spans="1:2" ht="15" customHeight="1" x14ac:dyDescent="0.3">
      <c r="A49" s="10" t="s">
        <v>170</v>
      </c>
      <c r="B49" s="19">
        <f>B5</f>
        <v>1.1585714285714286</v>
      </c>
    </row>
    <row r="50" spans="1:2" ht="15" customHeight="1" x14ac:dyDescent="0.3">
      <c r="A50" s="10" t="s">
        <v>175</v>
      </c>
      <c r="B50" s="19">
        <f>B7</f>
        <v>3.475714285714286</v>
      </c>
    </row>
    <row r="51" spans="1:2" ht="15" customHeight="1" x14ac:dyDescent="0.3">
      <c r="A51" s="10" t="s">
        <v>176</v>
      </c>
      <c r="B51" s="19">
        <f>B19</f>
        <v>4.78</v>
      </c>
    </row>
    <row r="52" spans="1:2" ht="15" customHeight="1" x14ac:dyDescent="0.3">
      <c r="A52" s="10" t="s">
        <v>171</v>
      </c>
      <c r="B52" s="29">
        <f>B21</f>
        <v>0.75762104004781838</v>
      </c>
    </row>
    <row r="53" spans="1:2" ht="15" customHeight="1" x14ac:dyDescent="0.3">
      <c r="A53" s="10" t="s">
        <v>177</v>
      </c>
      <c r="B53" s="29">
        <f>B33</f>
        <v>0.42416317991631791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zoomScaleNormal="100" workbookViewId="0"/>
  </sheetViews>
  <sheetFormatPr defaultColWidth="8.6640625" defaultRowHeight="14.4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</cols>
  <sheetData>
    <row r="1" spans="1:8" ht="17.399999999999999" customHeight="1" x14ac:dyDescent="0.3">
      <c r="A1" s="1" t="s">
        <v>178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179</v>
      </c>
    </row>
    <row r="4" spans="1:8" x14ac:dyDescent="0.3">
      <c r="A4" s="11" t="s">
        <v>180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181</v>
      </c>
      <c r="B5" s="13">
        <v>1</v>
      </c>
    </row>
    <row r="6" spans="1:8" x14ac:dyDescent="0.3">
      <c r="A6" s="6" t="s">
        <v>182</v>
      </c>
      <c r="B6" s="13">
        <v>0</v>
      </c>
    </row>
    <row r="7" spans="1:8" x14ac:dyDescent="0.3">
      <c r="A7" s="6" t="s">
        <v>183</v>
      </c>
      <c r="B7" s="13">
        <v>1</v>
      </c>
    </row>
    <row r="8" spans="1:8" x14ac:dyDescent="0.3">
      <c r="A8" s="6" t="s">
        <v>184</v>
      </c>
      <c r="B8" s="13">
        <v>2</v>
      </c>
    </row>
    <row r="9" spans="1:8" x14ac:dyDescent="0.3">
      <c r="A9" s="6" t="s">
        <v>185</v>
      </c>
      <c r="B9" s="13">
        <v>2</v>
      </c>
    </row>
    <row r="10" spans="1:8" x14ac:dyDescent="0.3">
      <c r="A10" s="10" t="s">
        <v>186</v>
      </c>
      <c r="B10" s="33">
        <f>SUM(B5:B9)</f>
        <v>6</v>
      </c>
    </row>
    <row r="12" spans="1:8" x14ac:dyDescent="0.3">
      <c r="A12" s="11" t="s">
        <v>187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188</v>
      </c>
      <c r="B13" s="13">
        <v>0</v>
      </c>
    </row>
    <row r="14" spans="1:8" x14ac:dyDescent="0.3">
      <c r="A14" s="6" t="s">
        <v>189</v>
      </c>
      <c r="B14" s="13">
        <v>2</v>
      </c>
    </row>
    <row r="15" spans="1:8" x14ac:dyDescent="0.3">
      <c r="A15" s="6" t="s">
        <v>190</v>
      </c>
      <c r="B15" s="13">
        <v>1</v>
      </c>
    </row>
    <row r="16" spans="1:8" x14ac:dyDescent="0.3">
      <c r="A16" s="6" t="s">
        <v>191</v>
      </c>
      <c r="B16" s="13">
        <v>0</v>
      </c>
    </row>
    <row r="17" spans="1:8" x14ac:dyDescent="0.3">
      <c r="A17" s="6" t="s">
        <v>192</v>
      </c>
      <c r="B17" s="13">
        <v>2</v>
      </c>
    </row>
    <row r="18" spans="1:8" x14ac:dyDescent="0.3">
      <c r="A18" s="10" t="s">
        <v>193</v>
      </c>
      <c r="B18" s="33">
        <f>SUM(B13:B17)</f>
        <v>5</v>
      </c>
    </row>
    <row r="20" spans="1:8" x14ac:dyDescent="0.3">
      <c r="A20" s="11" t="s">
        <v>194</v>
      </c>
      <c r="B20" s="12"/>
      <c r="C20" s="12"/>
      <c r="D20" s="12"/>
      <c r="E20" s="12"/>
      <c r="F20" s="12"/>
      <c r="G20" s="12"/>
      <c r="H20" s="12"/>
    </row>
    <row r="21" spans="1:8" x14ac:dyDescent="0.3">
      <c r="A21" s="10" t="s">
        <v>195</v>
      </c>
      <c r="B21" s="34" t="str">
        <f>IF(AND(B10&gt;=7,B18&gt;=7),"OUTCOME",IF(AND(B10&gt;=7,B18&lt;7),"USAGE",IF(AND(B10&lt;7,B18&gt;=7),"USAGE (an toàn)","SEAT hoặc HYBRID")))</f>
        <v>SEAT hoặc HYBRID</v>
      </c>
    </row>
    <row r="22" spans="1:8" x14ac:dyDescent="0.3">
      <c r="A22" s="3" t="s">
        <v>196</v>
      </c>
    </row>
    <row r="24" spans="1:8" x14ac:dyDescent="0.3">
      <c r="A24" s="11" t="s">
        <v>197</v>
      </c>
      <c r="B24" s="12"/>
      <c r="C24" s="12"/>
      <c r="D24" s="12"/>
      <c r="E24" s="12"/>
      <c r="F24" s="12"/>
      <c r="G24" s="12"/>
      <c r="H24" s="12"/>
    </row>
    <row r="25" spans="1:8" x14ac:dyDescent="0.3">
      <c r="A25" s="31" t="s">
        <v>198</v>
      </c>
      <c r="B25" s="31" t="s">
        <v>199</v>
      </c>
      <c r="C25" s="31" t="s">
        <v>200</v>
      </c>
      <c r="D25" s="31" t="s">
        <v>201</v>
      </c>
    </row>
    <row r="26" spans="1:8" ht="52.8" customHeight="1" x14ac:dyDescent="0.3">
      <c r="A26" s="39" t="s">
        <v>202</v>
      </c>
      <c r="B26" s="39" t="s">
        <v>203</v>
      </c>
      <c r="C26" s="39" t="s">
        <v>204</v>
      </c>
      <c r="D26" s="39" t="s">
        <v>205</v>
      </c>
    </row>
    <row r="27" spans="1:8" ht="92.4" customHeight="1" x14ac:dyDescent="0.3">
      <c r="A27" s="39" t="s">
        <v>206</v>
      </c>
      <c r="B27" s="39" t="s">
        <v>207</v>
      </c>
      <c r="C27" s="39" t="s">
        <v>208</v>
      </c>
      <c r="D27" s="39" t="s">
        <v>209</v>
      </c>
    </row>
    <row r="29" spans="1:8" x14ac:dyDescent="0.3">
      <c r="A29" s="11" t="s">
        <v>210</v>
      </c>
      <c r="B29" s="12"/>
      <c r="C29" s="12"/>
      <c r="D29" s="12"/>
      <c r="E29" s="12"/>
      <c r="F29" s="12"/>
      <c r="G29" s="12"/>
      <c r="H29" s="12"/>
    </row>
    <row r="30" spans="1:8" x14ac:dyDescent="0.3">
      <c r="A30" s="6" t="s">
        <v>211</v>
      </c>
      <c r="B30" s="5" t="s">
        <v>212</v>
      </c>
    </row>
    <row r="31" spans="1:8" ht="290.39999999999998" customHeight="1" x14ac:dyDescent="0.3">
      <c r="A31" s="6" t="s">
        <v>213</v>
      </c>
      <c r="B31" s="39" t="s">
        <v>214</v>
      </c>
    </row>
    <row r="32" spans="1:8" ht="237.6" customHeight="1" x14ac:dyDescent="0.3">
      <c r="A32" s="6" t="s">
        <v>215</v>
      </c>
      <c r="B32" s="39" t="s">
        <v>216</v>
      </c>
    </row>
    <row r="33" spans="1:2" ht="264" customHeight="1" x14ac:dyDescent="0.3">
      <c r="A33" s="6" t="s">
        <v>217</v>
      </c>
      <c r="B33" s="39" t="s">
        <v>218</v>
      </c>
    </row>
    <row r="34" spans="1:2" ht="198" customHeight="1" x14ac:dyDescent="0.3">
      <c r="A34" s="6" t="s">
        <v>219</v>
      </c>
      <c r="B34" s="39" t="s">
        <v>220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17.399999999999999" customHeight="1" x14ac:dyDescent="0.3">
      <c r="A1" s="1" t="s">
        <v>221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222</v>
      </c>
    </row>
    <row r="4" spans="1:8" x14ac:dyDescent="0.3">
      <c r="A4" s="11" t="s">
        <v>223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224</v>
      </c>
      <c r="B5" s="27">
        <v>19.12</v>
      </c>
    </row>
    <row r="6" spans="1:8" x14ac:dyDescent="0.3">
      <c r="A6" s="6" t="s">
        <v>225</v>
      </c>
      <c r="B6" s="30">
        <f>'2_Pricing'!B21</f>
        <v>0.75762104004781838</v>
      </c>
    </row>
    <row r="7" spans="1:8" x14ac:dyDescent="0.3">
      <c r="A7" s="6" t="s">
        <v>226</v>
      </c>
      <c r="B7" s="13" t="s">
        <v>227</v>
      </c>
    </row>
    <row r="8" spans="1:8" x14ac:dyDescent="0.3">
      <c r="A8" s="6" t="s">
        <v>228</v>
      </c>
      <c r="B8" s="16">
        <f>IF(B7="SMB",12,IF(B7="Mid",18,24))</f>
        <v>12</v>
      </c>
      <c r="C8" s="3" t="s">
        <v>229</v>
      </c>
      <c r="D8" s="3" t="s">
        <v>230</v>
      </c>
    </row>
    <row r="9" spans="1:8" x14ac:dyDescent="0.3">
      <c r="A9" s="10" t="s">
        <v>231</v>
      </c>
      <c r="B9" s="35">
        <f>B5*B6*B8</f>
        <v>173.82857142857145</v>
      </c>
      <c r="D9" s="3" t="s">
        <v>232</v>
      </c>
    </row>
    <row r="10" spans="1:8" x14ac:dyDescent="0.3">
      <c r="A10" s="6" t="s">
        <v>233</v>
      </c>
      <c r="B10" s="36">
        <f>B5*12</f>
        <v>229.44</v>
      </c>
    </row>
    <row r="12" spans="1:8" x14ac:dyDescent="0.3">
      <c r="A12" s="11" t="s">
        <v>234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235</v>
      </c>
      <c r="B13" s="27">
        <v>60000</v>
      </c>
      <c r="D13" s="3" t="s">
        <v>236</v>
      </c>
    </row>
    <row r="14" spans="1:8" x14ac:dyDescent="0.3">
      <c r="A14" s="6" t="s">
        <v>237</v>
      </c>
      <c r="B14" s="14">
        <v>250</v>
      </c>
      <c r="C14" s="3" t="s">
        <v>238</v>
      </c>
    </row>
    <row r="15" spans="1:8" x14ac:dyDescent="0.3">
      <c r="A15" s="6" t="s">
        <v>239</v>
      </c>
      <c r="B15" s="16">
        <f>IF(B10=0,0,B13/B10)</f>
        <v>261.50627615062763</v>
      </c>
    </row>
    <row r="16" spans="1:8" x14ac:dyDescent="0.3">
      <c r="A16" s="10" t="s">
        <v>240</v>
      </c>
      <c r="B16" s="37">
        <f>IF(B14=0,0,B15/B14)</f>
        <v>1.0460251046025104</v>
      </c>
      <c r="C16" s="3" t="s">
        <v>241</v>
      </c>
    </row>
    <row r="17" spans="1:8" x14ac:dyDescent="0.3">
      <c r="A17" s="6" t="s">
        <v>242</v>
      </c>
      <c r="B17" s="7" t="str">
        <f>IF(B16&lt;=1,"KHẢ THI về mặt số học","BẤT KHẢ THI — ACV quá thấp để nuôi sales rep")</f>
        <v>BẤT KHẢ THI — ACV quá thấp để nuôi sales rep</v>
      </c>
    </row>
    <row r="19" spans="1:8" x14ac:dyDescent="0.3">
      <c r="A19" s="11" t="s">
        <v>243</v>
      </c>
      <c r="B19" s="12"/>
      <c r="C19" s="12"/>
      <c r="D19" s="12"/>
      <c r="E19" s="12"/>
      <c r="F19" s="12"/>
      <c r="G19" s="12"/>
      <c r="H19" s="12"/>
    </row>
    <row r="20" spans="1:8" x14ac:dyDescent="0.3">
      <c r="A20" s="6" t="s">
        <v>244</v>
      </c>
      <c r="B20" s="27">
        <v>6300</v>
      </c>
      <c r="D20" s="3" t="s">
        <v>245</v>
      </c>
    </row>
    <row r="21" spans="1:8" x14ac:dyDescent="0.3">
      <c r="A21" s="6" t="s">
        <v>246</v>
      </c>
      <c r="B21" s="15">
        <v>0.25</v>
      </c>
    </row>
    <row r="22" spans="1:8" x14ac:dyDescent="0.3">
      <c r="A22" s="6" t="s">
        <v>247</v>
      </c>
      <c r="B22" s="36">
        <f>IF(B21=0,0,B20/B21)</f>
        <v>25200</v>
      </c>
    </row>
    <row r="23" spans="1:8" x14ac:dyDescent="0.3">
      <c r="A23" s="10" t="s">
        <v>248</v>
      </c>
      <c r="B23" s="38">
        <f>IF(B9=0,0,B22/B9)</f>
        <v>144.97041420118342</v>
      </c>
      <c r="D23" s="3" t="s">
        <v>249</v>
      </c>
    </row>
    <row r="24" spans="1:8" x14ac:dyDescent="0.3">
      <c r="A24" s="6" t="s">
        <v>167</v>
      </c>
      <c r="B24" s="7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6" spans="1:8" x14ac:dyDescent="0.3">
      <c r="A26" s="11" t="s">
        <v>250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31" t="s">
        <v>251</v>
      </c>
      <c r="B27" s="31" t="s">
        <v>252</v>
      </c>
      <c r="C27" s="31" t="s">
        <v>253</v>
      </c>
      <c r="D27" s="31" t="s">
        <v>254</v>
      </c>
    </row>
    <row r="28" spans="1:8" x14ac:dyDescent="0.3">
      <c r="A28" s="6" t="s">
        <v>255</v>
      </c>
      <c r="B28" s="13">
        <v>4</v>
      </c>
      <c r="C28" s="13">
        <v>1</v>
      </c>
      <c r="D28" s="13">
        <v>3</v>
      </c>
    </row>
    <row r="29" spans="1:8" x14ac:dyDescent="0.3">
      <c r="A29" s="6" t="s">
        <v>256</v>
      </c>
      <c r="B29" s="13">
        <v>4</v>
      </c>
      <c r="C29" s="13">
        <v>2</v>
      </c>
      <c r="D29" s="13">
        <v>3</v>
      </c>
    </row>
    <row r="30" spans="1:8" x14ac:dyDescent="0.3">
      <c r="A30" s="6" t="s">
        <v>257</v>
      </c>
      <c r="B30" s="13">
        <v>4</v>
      </c>
      <c r="C30" s="13">
        <v>1</v>
      </c>
      <c r="D30" s="13">
        <v>2</v>
      </c>
    </row>
    <row r="31" spans="1:8" x14ac:dyDescent="0.3">
      <c r="A31" s="6" t="s">
        <v>258</v>
      </c>
      <c r="B31" s="13">
        <v>4</v>
      </c>
      <c r="C31" s="13">
        <v>2</v>
      </c>
      <c r="D31" s="13">
        <v>2</v>
      </c>
    </row>
    <row r="32" spans="1:8" x14ac:dyDescent="0.3">
      <c r="A32" s="6" t="s">
        <v>259</v>
      </c>
      <c r="B32" s="13">
        <v>4</v>
      </c>
      <c r="C32" s="13">
        <v>2</v>
      </c>
      <c r="D32" s="13">
        <v>3</v>
      </c>
    </row>
    <row r="33" spans="1:8" x14ac:dyDescent="0.3">
      <c r="A33" s="6" t="s">
        <v>260</v>
      </c>
      <c r="B33" s="13">
        <v>5</v>
      </c>
      <c r="C33" s="13">
        <v>2</v>
      </c>
      <c r="D33" s="13">
        <v>2</v>
      </c>
    </row>
    <row r="34" spans="1:8" x14ac:dyDescent="0.3">
      <c r="A34" s="10" t="s">
        <v>261</v>
      </c>
      <c r="B34" s="34">
        <f>SUM(B28:B33)</f>
        <v>25</v>
      </c>
      <c r="C34" s="34">
        <f>SUM(C28:C33)</f>
        <v>10</v>
      </c>
      <c r="D34" s="34">
        <f>SUM(D28:D33)</f>
        <v>15</v>
      </c>
    </row>
    <row r="35" spans="1:8" x14ac:dyDescent="0.3">
      <c r="A35" s="10" t="s">
        <v>262</v>
      </c>
      <c r="B35" s="34" t="str">
        <f>IF(AND(B34&gt;=C34,B34&gt;=D34),"PLG",IF(C34&gt;=D34,"Sales-Led","Partner-Led"))</f>
        <v>PLG</v>
      </c>
    </row>
    <row r="37" spans="1:8" x14ac:dyDescent="0.3">
      <c r="A37" s="11" t="s">
        <v>263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6" t="s">
        <v>264</v>
      </c>
      <c r="B38" s="5" t="s">
        <v>252</v>
      </c>
      <c r="D38" s="3" t="s">
        <v>265</v>
      </c>
    </row>
    <row r="39" spans="1:8" x14ac:dyDescent="0.3">
      <c r="A39" s="6" t="s">
        <v>266</v>
      </c>
      <c r="B39" s="5" t="s">
        <v>267</v>
      </c>
      <c r="D39" s="3" t="s">
        <v>268</v>
      </c>
    </row>
    <row r="40" spans="1:8" x14ac:dyDescent="0.3">
      <c r="A40" s="6" t="s">
        <v>269</v>
      </c>
      <c r="B40" s="5" t="s">
        <v>267</v>
      </c>
    </row>
    <row r="41" spans="1:8" ht="118.8" customHeight="1" x14ac:dyDescent="0.3">
      <c r="A41" s="6" t="s">
        <v>270</v>
      </c>
      <c r="B41" s="39" t="s">
        <v>271</v>
      </c>
    </row>
    <row r="42" spans="1:8" ht="145.19999999999999" customHeight="1" x14ac:dyDescent="0.3">
      <c r="A42" s="6" t="s">
        <v>272</v>
      </c>
      <c r="B42" s="39" t="s">
        <v>273</v>
      </c>
      <c r="D42" s="3" t="s">
        <v>274</v>
      </c>
    </row>
  </sheetData>
  <dataValidations count="1">
    <dataValidation type="list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zoomScaleNormal="100" workbookViewId="0"/>
  </sheetViews>
  <sheetFormatPr defaultColWidth="8.6640625" defaultRowHeight="14.4" x14ac:dyDescent="0.3"/>
  <cols>
    <col min="1" max="1" width="30" customWidth="1"/>
    <col min="2" max="4" width="34" customWidth="1"/>
    <col min="5" max="8" width="15" customWidth="1"/>
  </cols>
  <sheetData>
    <row r="1" spans="1:8" ht="17.399999999999999" customHeight="1" x14ac:dyDescent="0.3">
      <c r="A1" s="1" t="s">
        <v>275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276</v>
      </c>
    </row>
    <row r="4" spans="1:8" x14ac:dyDescent="0.3">
      <c r="A4" s="11" t="s">
        <v>277</v>
      </c>
      <c r="B4" s="12"/>
      <c r="C4" s="12"/>
      <c r="D4" s="12"/>
      <c r="E4" s="12"/>
      <c r="F4" s="12"/>
      <c r="G4" s="12"/>
      <c r="H4" s="12"/>
    </row>
    <row r="5" spans="1:8" ht="66" customHeight="1" x14ac:dyDescent="0.3">
      <c r="A5" s="6" t="s">
        <v>278</v>
      </c>
      <c r="B5" s="39" t="s">
        <v>279</v>
      </c>
    </row>
    <row r="6" spans="1:8" ht="66" customHeight="1" x14ac:dyDescent="0.3">
      <c r="A6" s="6" t="s">
        <v>280</v>
      </c>
      <c r="B6" s="39" t="s">
        <v>281</v>
      </c>
    </row>
    <row r="7" spans="1:8" ht="39.6" customHeight="1" x14ac:dyDescent="0.3">
      <c r="A7" s="6" t="s">
        <v>282</v>
      </c>
      <c r="B7" s="39" t="s">
        <v>283</v>
      </c>
    </row>
    <row r="8" spans="1:8" ht="66" customHeight="1" x14ac:dyDescent="0.3">
      <c r="A8" s="6" t="s">
        <v>284</v>
      </c>
      <c r="B8" s="39" t="s">
        <v>285</v>
      </c>
      <c r="D8" s="3" t="s">
        <v>286</v>
      </c>
    </row>
    <row r="10" spans="1:8" x14ac:dyDescent="0.3">
      <c r="A10" s="11" t="s">
        <v>287</v>
      </c>
      <c r="B10" s="12"/>
      <c r="C10" s="12"/>
      <c r="D10" s="12"/>
      <c r="E10" s="12"/>
      <c r="F10" s="12"/>
      <c r="G10" s="12"/>
      <c r="H10" s="12"/>
    </row>
    <row r="11" spans="1:8" x14ac:dyDescent="0.3">
      <c r="A11" s="31"/>
      <c r="B11" s="31" t="s">
        <v>288</v>
      </c>
      <c r="C11" s="31" t="s">
        <v>289</v>
      </c>
      <c r="D11" s="31" t="s">
        <v>290</v>
      </c>
    </row>
    <row r="12" spans="1:8" ht="39.6" customHeight="1" x14ac:dyDescent="0.3">
      <c r="A12" s="6" t="s">
        <v>291</v>
      </c>
      <c r="B12" s="39" t="s">
        <v>292</v>
      </c>
      <c r="C12" s="39" t="s">
        <v>293</v>
      </c>
      <c r="D12" s="39" t="s">
        <v>294</v>
      </c>
    </row>
    <row r="13" spans="1:8" ht="26.4" customHeight="1" x14ac:dyDescent="0.3">
      <c r="A13" s="6" t="s">
        <v>295</v>
      </c>
      <c r="B13" s="39" t="s">
        <v>296</v>
      </c>
      <c r="C13" s="39" t="s">
        <v>297</v>
      </c>
      <c r="D13" s="39" t="s">
        <v>298</v>
      </c>
    </row>
    <row r="14" spans="1:8" ht="26.4" customHeight="1" x14ac:dyDescent="0.3">
      <c r="A14" s="6" t="s">
        <v>299</v>
      </c>
      <c r="B14" s="39" t="s">
        <v>300</v>
      </c>
      <c r="C14" s="39" t="s">
        <v>301</v>
      </c>
      <c r="D14" s="39" t="s">
        <v>302</v>
      </c>
    </row>
    <row r="15" spans="1:8" ht="26.4" customHeight="1" x14ac:dyDescent="0.3">
      <c r="A15" s="6" t="s">
        <v>303</v>
      </c>
      <c r="B15" s="39" t="s">
        <v>304</v>
      </c>
      <c r="C15" s="39" t="s">
        <v>305</v>
      </c>
      <c r="D15" s="39" t="s">
        <v>306</v>
      </c>
    </row>
    <row r="16" spans="1:8" ht="26.4" customHeight="1" x14ac:dyDescent="0.3">
      <c r="A16" s="6" t="s">
        <v>307</v>
      </c>
      <c r="B16" s="39" t="s">
        <v>308</v>
      </c>
      <c r="C16" s="39" t="s">
        <v>309</v>
      </c>
      <c r="D16" s="39" t="s">
        <v>310</v>
      </c>
    </row>
    <row r="17" spans="1:8" ht="26.4" customHeight="1" x14ac:dyDescent="0.3">
      <c r="A17" s="6" t="s">
        <v>311</v>
      </c>
      <c r="B17" s="39" t="s">
        <v>312</v>
      </c>
      <c r="C17" s="39" t="s">
        <v>313</v>
      </c>
      <c r="D17" s="39" t="s">
        <v>314</v>
      </c>
    </row>
    <row r="18" spans="1:8" x14ac:dyDescent="0.3">
      <c r="A18" s="6" t="s">
        <v>315</v>
      </c>
      <c r="B18" s="39" t="s">
        <v>316</v>
      </c>
      <c r="C18" s="39" t="s">
        <v>316</v>
      </c>
      <c r="D18" s="39" t="s">
        <v>316</v>
      </c>
    </row>
    <row r="19" spans="1:8" x14ac:dyDescent="0.3">
      <c r="A19" s="3" t="s">
        <v>317</v>
      </c>
    </row>
    <row r="21" spans="1:8" x14ac:dyDescent="0.3">
      <c r="A21" s="11" t="s">
        <v>318</v>
      </c>
      <c r="B21" s="12"/>
      <c r="C21" s="12"/>
      <c r="D21" s="12"/>
      <c r="E21" s="12"/>
      <c r="F21" s="12"/>
      <c r="G21" s="12"/>
      <c r="H21" s="12"/>
    </row>
    <row r="22" spans="1:8" x14ac:dyDescent="0.3">
      <c r="A22" s="31" t="s">
        <v>319</v>
      </c>
      <c r="B22" s="31" t="s">
        <v>320</v>
      </c>
      <c r="C22" s="31" t="s">
        <v>321</v>
      </c>
      <c r="D22" s="31" t="s">
        <v>322</v>
      </c>
    </row>
    <row r="23" spans="1:8" ht="52.8" customHeight="1" x14ac:dyDescent="0.3">
      <c r="A23" s="6" t="s">
        <v>323</v>
      </c>
      <c r="B23" s="39" t="s">
        <v>324</v>
      </c>
      <c r="C23" s="39" t="s">
        <v>325</v>
      </c>
      <c r="D23" s="39" t="s">
        <v>326</v>
      </c>
    </row>
    <row r="24" spans="1:8" ht="118.8" customHeight="1" x14ac:dyDescent="0.3">
      <c r="A24" s="6" t="s">
        <v>327</v>
      </c>
      <c r="B24" s="39" t="s">
        <v>324</v>
      </c>
      <c r="C24" s="39" t="s">
        <v>328</v>
      </c>
      <c r="D24" s="39" t="s">
        <v>329</v>
      </c>
    </row>
    <row r="25" spans="1:8" ht="52.8" customHeight="1" x14ac:dyDescent="0.3">
      <c r="A25" s="6" t="s">
        <v>330</v>
      </c>
      <c r="B25" s="39" t="s">
        <v>324</v>
      </c>
      <c r="C25" s="39" t="s">
        <v>331</v>
      </c>
      <c r="D25" s="39" t="s">
        <v>332</v>
      </c>
    </row>
    <row r="26" spans="1:8" x14ac:dyDescent="0.3">
      <c r="A26" s="3" t="s">
        <v>333</v>
      </c>
    </row>
    <row r="28" spans="1:8" x14ac:dyDescent="0.3">
      <c r="A28" s="11" t="s">
        <v>334</v>
      </c>
      <c r="B28" s="12"/>
      <c r="C28" s="12"/>
      <c r="D28" s="12"/>
      <c r="E28" s="12"/>
      <c r="F28" s="12"/>
      <c r="G28" s="12"/>
      <c r="H28" s="12"/>
    </row>
    <row r="29" spans="1:8" x14ac:dyDescent="0.3">
      <c r="A29" s="6" t="s">
        <v>335</v>
      </c>
      <c r="B29" s="5" t="s">
        <v>336</v>
      </c>
    </row>
    <row r="30" spans="1:8" x14ac:dyDescent="0.3">
      <c r="A30" s="6" t="s">
        <v>337</v>
      </c>
      <c r="B30" s="5" t="s">
        <v>336</v>
      </c>
    </row>
    <row r="31" spans="1:8" x14ac:dyDescent="0.3">
      <c r="A31" s="6" t="s">
        <v>338</v>
      </c>
      <c r="B31" s="5" t="s">
        <v>336</v>
      </c>
    </row>
    <row r="32" spans="1:8" x14ac:dyDescent="0.3">
      <c r="A32" s="6" t="s">
        <v>339</v>
      </c>
      <c r="B32" s="5" t="s">
        <v>340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</cols>
  <sheetData>
    <row r="1" spans="1:8" ht="24" customHeight="1" x14ac:dyDescent="0.3">
      <c r="A1" s="1" t="s">
        <v>341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 t="s">
        <v>342</v>
      </c>
    </row>
    <row r="3" spans="1:8" ht="15" customHeight="1" x14ac:dyDescent="0.3">
      <c r="A3" s="6" t="s">
        <v>343</v>
      </c>
      <c r="B3" s="5" t="s">
        <v>344</v>
      </c>
      <c r="D3" s="3" t="s">
        <v>345</v>
      </c>
    </row>
    <row r="5" spans="1:8" ht="15" customHeight="1" x14ac:dyDescent="0.3">
      <c r="A5" s="40" t="s">
        <v>346</v>
      </c>
      <c r="B5" s="40" t="s">
        <v>347</v>
      </c>
      <c r="C5" s="40" t="s">
        <v>348</v>
      </c>
      <c r="D5" s="40" t="s">
        <v>349</v>
      </c>
      <c r="E5" s="40" t="s">
        <v>350</v>
      </c>
    </row>
    <row r="6" spans="1:8" ht="15" customHeight="1" x14ac:dyDescent="0.3">
      <c r="A6" s="41" t="s">
        <v>124</v>
      </c>
      <c r="B6" s="41" t="s">
        <v>351</v>
      </c>
      <c r="C6" s="41" t="s">
        <v>352</v>
      </c>
      <c r="D6" s="41" t="s">
        <v>353</v>
      </c>
      <c r="E6" s="42" t="s">
        <v>354</v>
      </c>
    </row>
    <row r="7" spans="1:8" ht="15" customHeight="1" x14ac:dyDescent="0.3">
      <c r="A7" s="41" t="s">
        <v>124</v>
      </c>
      <c r="B7" s="41" t="s">
        <v>355</v>
      </c>
      <c r="C7" s="41" t="s">
        <v>356</v>
      </c>
      <c r="D7" s="41" t="s">
        <v>353</v>
      </c>
      <c r="E7" s="42" t="s">
        <v>354</v>
      </c>
    </row>
    <row r="8" spans="1:8" ht="15" customHeight="1" x14ac:dyDescent="0.3">
      <c r="A8" s="41" t="s">
        <v>124</v>
      </c>
      <c r="B8" s="41" t="s">
        <v>357</v>
      </c>
      <c r="C8" s="41" t="s">
        <v>358</v>
      </c>
      <c r="D8" s="41" t="s">
        <v>353</v>
      </c>
      <c r="E8" s="42" t="s">
        <v>354</v>
      </c>
    </row>
    <row r="9" spans="1:8" ht="15" customHeight="1" x14ac:dyDescent="0.3">
      <c r="A9" s="41" t="s">
        <v>124</v>
      </c>
      <c r="B9" s="41" t="s">
        <v>359</v>
      </c>
      <c r="C9" s="41" t="s">
        <v>360</v>
      </c>
      <c r="D9" s="41" t="s">
        <v>361</v>
      </c>
      <c r="E9" s="42" t="s">
        <v>354</v>
      </c>
    </row>
    <row r="10" spans="1:8" ht="22.35" customHeight="1" x14ac:dyDescent="0.3">
      <c r="A10" s="41" t="s">
        <v>124</v>
      </c>
      <c r="B10" s="41" t="s">
        <v>362</v>
      </c>
      <c r="C10" s="41" t="s">
        <v>363</v>
      </c>
      <c r="D10" s="41" t="s">
        <v>353</v>
      </c>
      <c r="E10" s="42" t="s">
        <v>364</v>
      </c>
    </row>
    <row r="11" spans="1:8" ht="15" customHeight="1" x14ac:dyDescent="0.3">
      <c r="A11" s="41" t="s">
        <v>124</v>
      </c>
      <c r="B11" s="41" t="s">
        <v>365</v>
      </c>
      <c r="C11" s="41" t="s">
        <v>366</v>
      </c>
      <c r="D11" s="41" t="s">
        <v>353</v>
      </c>
      <c r="E11" s="42" t="s">
        <v>367</v>
      </c>
    </row>
    <row r="12" spans="1:8" ht="15" customHeight="1" x14ac:dyDescent="0.3">
      <c r="A12" s="41" t="s">
        <v>124</v>
      </c>
      <c r="B12" s="41" t="s">
        <v>368</v>
      </c>
      <c r="C12" s="41" t="s">
        <v>369</v>
      </c>
      <c r="D12" s="41" t="s">
        <v>361</v>
      </c>
      <c r="E12" s="42" t="s">
        <v>367</v>
      </c>
    </row>
    <row r="13" spans="1:8" ht="15" customHeight="1" x14ac:dyDescent="0.3">
      <c r="A13" s="41" t="s">
        <v>124</v>
      </c>
      <c r="B13" s="41" t="s">
        <v>370</v>
      </c>
      <c r="C13" s="41" t="s">
        <v>371</v>
      </c>
      <c r="D13" s="41" t="s">
        <v>353</v>
      </c>
      <c r="E13" s="42" t="s">
        <v>372</v>
      </c>
    </row>
    <row r="14" spans="1:8" ht="22.35" customHeight="1" x14ac:dyDescent="0.3">
      <c r="A14" s="41" t="s">
        <v>124</v>
      </c>
      <c r="B14" s="41" t="s">
        <v>373</v>
      </c>
      <c r="C14" s="41" t="s">
        <v>374</v>
      </c>
      <c r="D14" s="41" t="s">
        <v>353</v>
      </c>
      <c r="E14" s="42" t="s">
        <v>375</v>
      </c>
    </row>
    <row r="15" spans="1:8" ht="15" customHeight="1" x14ac:dyDescent="0.3">
      <c r="A15" s="41" t="s">
        <v>376</v>
      </c>
      <c r="B15" s="41" t="s">
        <v>377</v>
      </c>
      <c r="C15" s="41" t="s">
        <v>378</v>
      </c>
      <c r="D15" s="41" t="s">
        <v>379</v>
      </c>
      <c r="E15" s="42" t="s">
        <v>380</v>
      </c>
    </row>
    <row r="16" spans="1:8" ht="15" customHeight="1" x14ac:dyDescent="0.3">
      <c r="A16" s="41" t="s">
        <v>376</v>
      </c>
      <c r="B16" s="41" t="s">
        <v>381</v>
      </c>
      <c r="C16" s="41" t="s">
        <v>382</v>
      </c>
      <c r="D16" s="41" t="s">
        <v>379</v>
      </c>
      <c r="E16" s="42" t="s">
        <v>383</v>
      </c>
    </row>
    <row r="17" spans="1:5" ht="15" customHeight="1" x14ac:dyDescent="0.3">
      <c r="A17" s="41" t="s">
        <v>376</v>
      </c>
      <c r="B17" s="41" t="s">
        <v>384</v>
      </c>
      <c r="C17" s="41" t="s">
        <v>385</v>
      </c>
      <c r="D17" s="41" t="s">
        <v>379</v>
      </c>
      <c r="E17" s="42" t="s">
        <v>386</v>
      </c>
    </row>
    <row r="18" spans="1:5" ht="15" customHeight="1" x14ac:dyDescent="0.3">
      <c r="A18" s="41" t="s">
        <v>376</v>
      </c>
      <c r="B18" s="41" t="s">
        <v>387</v>
      </c>
      <c r="C18" s="41" t="s">
        <v>388</v>
      </c>
      <c r="D18" s="41" t="s">
        <v>379</v>
      </c>
      <c r="E18" s="42" t="s">
        <v>367</v>
      </c>
    </row>
    <row r="19" spans="1:5" ht="15" customHeight="1" x14ac:dyDescent="0.3">
      <c r="A19" s="41" t="s">
        <v>389</v>
      </c>
      <c r="B19" s="41" t="s">
        <v>390</v>
      </c>
      <c r="C19" s="41" t="s">
        <v>391</v>
      </c>
      <c r="D19" s="41" t="s">
        <v>392</v>
      </c>
      <c r="E19" s="42" t="s">
        <v>393</v>
      </c>
    </row>
    <row r="20" spans="1:5" ht="15" customHeight="1" x14ac:dyDescent="0.3">
      <c r="A20" s="41" t="s">
        <v>389</v>
      </c>
      <c r="B20" s="41" t="s">
        <v>394</v>
      </c>
      <c r="C20" s="41" t="s">
        <v>395</v>
      </c>
      <c r="D20" s="41" t="s">
        <v>392</v>
      </c>
      <c r="E20" s="42" t="s">
        <v>367</v>
      </c>
    </row>
    <row r="21" spans="1:5" ht="15" customHeight="1" x14ac:dyDescent="0.3">
      <c r="A21" s="41" t="s">
        <v>389</v>
      </c>
      <c r="B21" s="41" t="s">
        <v>396</v>
      </c>
      <c r="C21" s="41" t="s">
        <v>397</v>
      </c>
      <c r="D21" s="41" t="s">
        <v>392</v>
      </c>
      <c r="E21" s="42" t="s">
        <v>398</v>
      </c>
    </row>
    <row r="22" spans="1:5" ht="15" customHeight="1" x14ac:dyDescent="0.3">
      <c r="A22" s="41" t="s">
        <v>389</v>
      </c>
      <c r="B22" s="41" t="s">
        <v>399</v>
      </c>
      <c r="C22" s="41" t="s">
        <v>400</v>
      </c>
      <c r="D22" s="41" t="s">
        <v>392</v>
      </c>
      <c r="E22" s="42" t="s">
        <v>398</v>
      </c>
    </row>
    <row r="23" spans="1:5" ht="15" customHeight="1" x14ac:dyDescent="0.3">
      <c r="A23" s="41" t="s">
        <v>401</v>
      </c>
      <c r="B23" s="41" t="s">
        <v>402</v>
      </c>
      <c r="C23" s="41" t="s">
        <v>403</v>
      </c>
      <c r="D23" s="41" t="s">
        <v>404</v>
      </c>
      <c r="E23" s="42" t="s">
        <v>405</v>
      </c>
    </row>
    <row r="24" spans="1:5" ht="15" customHeight="1" x14ac:dyDescent="0.3">
      <c r="A24" s="41" t="s">
        <v>406</v>
      </c>
      <c r="B24" s="41" t="s">
        <v>407</v>
      </c>
      <c r="C24" s="41" t="s">
        <v>408</v>
      </c>
      <c r="D24" s="41" t="s">
        <v>409</v>
      </c>
      <c r="E24" s="42" t="s">
        <v>410</v>
      </c>
    </row>
    <row r="25" spans="1:5" ht="15" customHeight="1" x14ac:dyDescent="0.3">
      <c r="A25" s="41" t="s">
        <v>406</v>
      </c>
      <c r="B25" s="41" t="s">
        <v>411</v>
      </c>
      <c r="C25" s="41" t="s">
        <v>412</v>
      </c>
      <c r="D25" s="41" t="s">
        <v>409</v>
      </c>
      <c r="E25" s="42" t="s">
        <v>413</v>
      </c>
    </row>
    <row r="26" spans="1:5" ht="22.35" customHeight="1" x14ac:dyDescent="0.3">
      <c r="A26" s="41" t="s">
        <v>406</v>
      </c>
      <c r="B26" s="41" t="s">
        <v>414</v>
      </c>
      <c r="C26" s="41" t="s">
        <v>415</v>
      </c>
      <c r="D26" s="41" t="s">
        <v>361</v>
      </c>
      <c r="E26" s="42" t="s">
        <v>416</v>
      </c>
    </row>
    <row r="27" spans="1:5" ht="15" customHeight="1" x14ac:dyDescent="0.3">
      <c r="A27" s="41" t="s">
        <v>417</v>
      </c>
      <c r="B27" s="41" t="s">
        <v>418</v>
      </c>
      <c r="C27" s="41" t="s">
        <v>419</v>
      </c>
      <c r="D27" s="41" t="s">
        <v>420</v>
      </c>
      <c r="E27" s="42" t="s">
        <v>421</v>
      </c>
    </row>
    <row r="28" spans="1:5" ht="15" customHeight="1" x14ac:dyDescent="0.3">
      <c r="A28" s="41" t="s">
        <v>417</v>
      </c>
      <c r="B28" s="41" t="s">
        <v>422</v>
      </c>
      <c r="C28" s="41" t="s">
        <v>423</v>
      </c>
      <c r="D28" s="41" t="s">
        <v>420</v>
      </c>
      <c r="E28" s="42" t="s">
        <v>421</v>
      </c>
    </row>
    <row r="29" spans="1:5" ht="22.35" customHeight="1" x14ac:dyDescent="0.3">
      <c r="A29" s="41" t="s">
        <v>417</v>
      </c>
      <c r="B29" s="41" t="s">
        <v>424</v>
      </c>
      <c r="C29" s="41" t="s">
        <v>425</v>
      </c>
      <c r="D29" s="41" t="s">
        <v>426</v>
      </c>
      <c r="E29" s="42" t="s">
        <v>427</v>
      </c>
    </row>
    <row r="30" spans="1:5" ht="15" customHeight="1" x14ac:dyDescent="0.3">
      <c r="A30" s="41" t="s">
        <v>417</v>
      </c>
      <c r="B30" s="41" t="s">
        <v>428</v>
      </c>
      <c r="C30" s="41" t="s">
        <v>429</v>
      </c>
      <c r="D30" s="41" t="s">
        <v>430</v>
      </c>
      <c r="E30" s="42" t="s">
        <v>431</v>
      </c>
    </row>
    <row r="31" spans="1:5" ht="15" customHeight="1" x14ac:dyDescent="0.3">
      <c r="A31" s="41" t="s">
        <v>417</v>
      </c>
      <c r="B31" s="41" t="s">
        <v>432</v>
      </c>
      <c r="C31" s="41" t="s">
        <v>433</v>
      </c>
      <c r="D31" s="41" t="s">
        <v>434</v>
      </c>
      <c r="E31" s="42" t="s">
        <v>431</v>
      </c>
    </row>
    <row r="32" spans="1:5" ht="15" customHeight="1" x14ac:dyDescent="0.3">
      <c r="A32" s="41" t="s">
        <v>417</v>
      </c>
      <c r="B32" s="41" t="s">
        <v>435</v>
      </c>
      <c r="C32" s="41" t="s">
        <v>436</v>
      </c>
      <c r="D32" s="41" t="s">
        <v>430</v>
      </c>
      <c r="E32" s="42" t="s">
        <v>437</v>
      </c>
    </row>
    <row r="33" spans="1:5" ht="15" customHeight="1" x14ac:dyDescent="0.3">
      <c r="A33" s="41" t="s">
        <v>417</v>
      </c>
      <c r="B33" s="41" t="s">
        <v>438</v>
      </c>
      <c r="C33" s="41" t="s">
        <v>439</v>
      </c>
      <c r="D33" s="41" t="s">
        <v>440</v>
      </c>
      <c r="E33" s="42" t="s">
        <v>437</v>
      </c>
    </row>
    <row r="34" spans="1:5" ht="15" customHeight="1" x14ac:dyDescent="0.3">
      <c r="A34" s="41" t="s">
        <v>417</v>
      </c>
      <c r="B34" s="41" t="s">
        <v>441</v>
      </c>
      <c r="C34" s="41" t="s">
        <v>442</v>
      </c>
      <c r="D34" s="41" t="s">
        <v>443</v>
      </c>
      <c r="E34" s="42" t="s">
        <v>444</v>
      </c>
    </row>
    <row r="35" spans="1:5" ht="15" customHeight="1" x14ac:dyDescent="0.3">
      <c r="A35" s="41" t="s">
        <v>445</v>
      </c>
      <c r="B35" s="41" t="s">
        <v>446</v>
      </c>
      <c r="C35" s="41" t="s">
        <v>447</v>
      </c>
      <c r="D35" s="41" t="s">
        <v>448</v>
      </c>
      <c r="E35" s="42" t="s">
        <v>449</v>
      </c>
    </row>
    <row r="36" spans="1:5" ht="15" customHeight="1" x14ac:dyDescent="0.3">
      <c r="A36" s="41" t="s">
        <v>445</v>
      </c>
      <c r="B36" s="41" t="s">
        <v>450</v>
      </c>
      <c r="C36" s="41" t="s">
        <v>451</v>
      </c>
      <c r="D36" s="41" t="s">
        <v>448</v>
      </c>
      <c r="E36" s="42" t="s">
        <v>452</v>
      </c>
    </row>
    <row r="37" spans="1:5" ht="15" customHeight="1" x14ac:dyDescent="0.3">
      <c r="A37" s="41" t="s">
        <v>445</v>
      </c>
      <c r="B37" s="41" t="s">
        <v>453</v>
      </c>
      <c r="C37" s="41" t="s">
        <v>454</v>
      </c>
      <c r="D37" s="41" t="s">
        <v>448</v>
      </c>
      <c r="E37" s="42" t="s">
        <v>455</v>
      </c>
    </row>
    <row r="38" spans="1:5" ht="15" customHeight="1" x14ac:dyDescent="0.3">
      <c r="A38" s="41" t="s">
        <v>445</v>
      </c>
      <c r="B38" s="41" t="s">
        <v>456</v>
      </c>
      <c r="C38" s="41" t="s">
        <v>457</v>
      </c>
      <c r="D38" s="41" t="s">
        <v>229</v>
      </c>
      <c r="E38" s="42" t="s">
        <v>452</v>
      </c>
    </row>
    <row r="39" spans="1:5" ht="15" customHeight="1" x14ac:dyDescent="0.3">
      <c r="A39" s="41" t="s">
        <v>445</v>
      </c>
      <c r="B39" s="41" t="s">
        <v>458</v>
      </c>
      <c r="C39" s="41" t="s">
        <v>459</v>
      </c>
      <c r="D39" s="41" t="s">
        <v>460</v>
      </c>
      <c r="E39" s="42" t="s">
        <v>461</v>
      </c>
    </row>
    <row r="40" spans="1:5" ht="15" customHeight="1" x14ac:dyDescent="0.3">
      <c r="A40" s="41" t="s">
        <v>445</v>
      </c>
      <c r="B40" s="41" t="s">
        <v>462</v>
      </c>
      <c r="C40" s="41" t="s">
        <v>463</v>
      </c>
      <c r="D40" s="41" t="s">
        <v>464</v>
      </c>
      <c r="E40" s="42" t="s">
        <v>465</v>
      </c>
    </row>
    <row r="41" spans="1:5" ht="15" customHeight="1" x14ac:dyDescent="0.3">
      <c r="A41" s="41" t="s">
        <v>445</v>
      </c>
      <c r="B41" s="41" t="s">
        <v>466</v>
      </c>
      <c r="C41" s="41" t="s">
        <v>467</v>
      </c>
      <c r="D41" s="41" t="s">
        <v>468</v>
      </c>
      <c r="E41" s="42" t="s">
        <v>469</v>
      </c>
    </row>
    <row r="43" spans="1:5" ht="15" customHeight="1" x14ac:dyDescent="0.3">
      <c r="A43" s="3" t="s">
        <v>470</v>
      </c>
    </row>
    <row r="45" spans="1:5" x14ac:dyDescent="0.3">
      <c r="A45" s="43" t="s">
        <v>471</v>
      </c>
    </row>
    <row r="46" spans="1:5" x14ac:dyDescent="0.3">
      <c r="A46" s="40" t="s">
        <v>346</v>
      </c>
      <c r="B46" s="40" t="s">
        <v>347</v>
      </c>
      <c r="C46" s="40" t="s">
        <v>348</v>
      </c>
      <c r="D46" s="40" t="s">
        <v>349</v>
      </c>
      <c r="E46" s="40" t="s">
        <v>350</v>
      </c>
    </row>
    <row r="47" spans="1:5" ht="22.8" customHeight="1" x14ac:dyDescent="0.3">
      <c r="A47" s="41" t="s">
        <v>472</v>
      </c>
      <c r="B47" s="41" t="s">
        <v>473</v>
      </c>
      <c r="C47" s="41" t="s">
        <v>474</v>
      </c>
      <c r="D47" s="41" t="s">
        <v>353</v>
      </c>
      <c r="E47" s="42" t="s">
        <v>475</v>
      </c>
    </row>
    <row r="48" spans="1:5" ht="22.8" customHeight="1" x14ac:dyDescent="0.3">
      <c r="A48" s="41" t="s">
        <v>472</v>
      </c>
      <c r="B48" s="41" t="s">
        <v>476</v>
      </c>
      <c r="C48" s="41" t="s">
        <v>477</v>
      </c>
      <c r="D48" s="41" t="s">
        <v>353</v>
      </c>
      <c r="E48" s="42" t="s">
        <v>478</v>
      </c>
    </row>
    <row r="49" spans="1:5" x14ac:dyDescent="0.3">
      <c r="A49" s="41" t="s">
        <v>124</v>
      </c>
      <c r="B49" s="41" t="s">
        <v>479</v>
      </c>
      <c r="C49" s="41" t="s">
        <v>480</v>
      </c>
      <c r="D49" s="41" t="s">
        <v>353</v>
      </c>
      <c r="E49" s="42" t="s">
        <v>354</v>
      </c>
    </row>
    <row r="50" spans="1:5" ht="22.8" customHeight="1" x14ac:dyDescent="0.3">
      <c r="A50" s="41" t="s">
        <v>124</v>
      </c>
      <c r="B50" s="41" t="s">
        <v>481</v>
      </c>
      <c r="C50" s="41" t="s">
        <v>374</v>
      </c>
      <c r="D50" s="41" t="s">
        <v>353</v>
      </c>
      <c r="E50" s="42" t="s">
        <v>482</v>
      </c>
    </row>
    <row r="51" spans="1:5" x14ac:dyDescent="0.3">
      <c r="A51" s="41" t="s">
        <v>483</v>
      </c>
      <c r="B51" s="41" t="s">
        <v>484</v>
      </c>
      <c r="C51" s="41" t="s">
        <v>485</v>
      </c>
      <c r="D51" s="41" t="s">
        <v>486</v>
      </c>
      <c r="E51" s="42" t="s">
        <v>487</v>
      </c>
    </row>
    <row r="52" spans="1:5" x14ac:dyDescent="0.3">
      <c r="A52" s="41" t="s">
        <v>488</v>
      </c>
      <c r="B52" s="41" t="s">
        <v>489</v>
      </c>
      <c r="C52" s="41" t="s">
        <v>490</v>
      </c>
      <c r="D52" s="41" t="s">
        <v>491</v>
      </c>
      <c r="E52" s="42" t="s">
        <v>492</v>
      </c>
    </row>
    <row r="53" spans="1:5" x14ac:dyDescent="0.3">
      <c r="A53" s="41" t="s">
        <v>417</v>
      </c>
      <c r="B53" s="41" t="s">
        <v>493</v>
      </c>
      <c r="C53" s="41" t="s">
        <v>494</v>
      </c>
      <c r="D53" s="41" t="s">
        <v>495</v>
      </c>
      <c r="E53" s="42" t="s">
        <v>496</v>
      </c>
    </row>
    <row r="54" spans="1:5" x14ac:dyDescent="0.3">
      <c r="A54" s="41" t="s">
        <v>417</v>
      </c>
      <c r="B54" s="41" t="s">
        <v>497</v>
      </c>
      <c r="C54" s="41" t="s">
        <v>498</v>
      </c>
      <c r="D54" s="41" t="s">
        <v>495</v>
      </c>
      <c r="E54" s="42" t="s">
        <v>499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Thành Phan</cp:lastModifiedBy>
  <cp:revision>0</cp:revision>
  <dcterms:created xsi:type="dcterms:W3CDTF">2026-08-26T15:07:08Z</dcterms:created>
  <dcterms:modified xsi:type="dcterms:W3CDTF">2026-10-07T18:07:15Z</dcterms:modified>
  <dc:language>en-US</dc:language>
</cp:coreProperties>
</file>